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 page" sheetId="1" r:id="rId1"/>
    <sheet name="Glossary" sheetId="2" r:id="rId2"/>
    <sheet name="Function Test Cases" sheetId="3" r:id="rId3"/>
    <sheet name="Security Test Cases" sheetId="4" r:id="rId4"/>
    <sheet name="UI Testing" sheetId="5" r:id="rId5"/>
    <sheet name="Other Test Cases ..." sheetId="6" r:id="rId6"/>
  </sheets>
</workbook>
</file>

<file path=xl/comments3.xml><?xml version="1.0" encoding="utf-8"?>
<comments xmlns="http://schemas.openxmlformats.org/spreadsheetml/2006/main">
  <authors>
    <author>sheetjsghost</author>
  </authors>
  <commentList>
    <comment ref="B7" authorId="0">
      <text>
        <t xml:space="preserve">======
ID#AAABsK4Cyds
DUCHU    (2025-10-09 07:32:02)
Use this column to group test cases. If no goup is identified, hide this column.</t>
      </text>
    </comment>
    <comment ref="C7" authorId="0">
      <text>
        <t xml:space="preserve">======
ID#AAABsK4Cydc
DUCHU    (2025-10-09 07:32:02)
- Each test case is identified by a Test Case ID that can be referenced from other testing software and all testers regardless of access to. 
- Insert rows for new test cases</t>
      </text>
    </comment>
    <comment ref="D7" authorId="0">
      <text>
        <t xml:space="preserve">======
ID#AAABsK4CycQ
DUCHU    (2025-10-09 07:32:02)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ref="G7" authorId="0">
      <text>
        <t xml:space="preserve">======
ID#AAABsK4CydI
DUCHU    (2025-10-09 07:32:02)
Ignore this column (hide the columns) if test procedures are not required</t>
      </text>
    </comment>
    <comment ref="I7" authorId="0">
      <text>
        <t xml:space="preserve">======
ID#AAABsK4Cyc0
DUCHU    (2025-10-09 07:32:02)
- Expected Results are the resulting state or data received upon completion of executing this test case</t>
      </text>
    </comment>
    <comment ref="K7" authorId="0">
      <text>
        <t xml:space="preserve">======
ID#AAABsKpTqew
DUCHU    (2025-10-09 07:32:02)
- An executed test case can be either:
 + Passed
 + Failed
- A test case can have Not Run status if it is not executed yet
- A test case can hae Not Completed status if its execution is not completed</t>
      </text>
    </comment>
    <comment ref="G8" authorId="0">
      <text>
        <t xml:space="preserve">======
ID#AAABsK4Cyc4
DUCHU    (2025-10-09 07:32:02)
- It is recommended to use 1 row for a step.</t>
      </text>
    </comment>
    <comment ref="H8" authorId="0">
      <text>
        <t xml:space="preserve">======
ID#AAABsK4CycY
DUCHU    (2025-10-09 07:32:02)
Optional</t>
      </text>
    </comment>
  </commentList>
</comments>
</file>

<file path=xl/comments4.xml><?xml version="1.0" encoding="utf-8"?>
<comments xmlns="http://schemas.openxmlformats.org/spreadsheetml/2006/main">
  <authors>
    <author>sheetjsghost</author>
  </authors>
  <commentList>
    <comment ref="B7" authorId="0">
      <text>
        <t xml:space="preserve">======
ID#AAABsK4Cyco
DUCHU    (2025-10-09 07:32:02)
Use this column to group test cases. If no goup is identified, hide this column.</t>
      </text>
    </comment>
    <comment ref="C7" authorId="0">
      <text>
        <t xml:space="preserve">======
ID#AAABsK4CycE
DUCHU    (2025-10-09 07:32:02)
- Each test case is identified by a Test Case ID that can be referenced from other testing software and all testers regardless of access to. 
- Insert rows for new test cases</t>
      </text>
    </comment>
    <comment ref="D7" authorId="0">
      <text>
        <t xml:space="preserve">======
ID#AAABsK4Cyd0
DUCHU    (2025-10-09 07:32:02)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ref="G7" authorId="0">
      <text>
        <t xml:space="preserve">======
ID#AAABsK4Cydo
DUCHU    (2025-10-09 07:32:02)
Ignore this column (hide the columns) if test procedures are not required</t>
      </text>
    </comment>
    <comment ref="I7" authorId="0">
      <text>
        <t xml:space="preserve">======
ID#AAABsK4Cyck
DUCHU    (2025-10-09 07:32:02)
- Expected Results are the resulting state or data received upon completion of executing this test case</t>
      </text>
    </comment>
    <comment ref="K7" authorId="0">
      <text>
        <t xml:space="preserve">======
ID#AAABsK4CydM
DUCHU    (2025-10-09 07:32:02)
- An executed test case can be either:
 + Passed
 + Failed
- A test case can have Not Run status if it is not executed yet
- A test case can hae Not Completed status if its execution is not completed</t>
      </text>
    </comment>
    <comment ref="G8" authorId="0">
      <text>
        <t xml:space="preserve">======
ID#AAABsK4Cycc
DUCHU    (2025-10-09 07:32:02)
- It is recommended to use 1 row for a step.</t>
      </text>
    </comment>
    <comment ref="H8" authorId="0">
      <text>
        <t xml:space="preserve">======
ID#AAABsK4CycU
DUCHU    (2025-10-09 07:32:02)
Optional</t>
      </text>
    </comment>
  </commentList>
</comments>
</file>

<file path=xl/comments5.xml><?xml version="1.0" encoding="utf-8"?>
<comments xmlns="http://schemas.openxmlformats.org/spreadsheetml/2006/main">
  <authors>
    <author>sheetjsghost</author>
  </authors>
  <commentList>
    <comment ref="B7" authorId="0">
      <text>
        <t xml:space="preserve">======
ID#AAABsK4CycI
DUCHU    (2025-10-09 07:32:02)
Use this column to group test cases. If no goup is identified, hide this column.</t>
      </text>
    </comment>
    <comment ref="C7" authorId="0">
      <text>
        <t xml:space="preserve">======
ID#AAABsK4Cyc8
DUCHU    (2025-10-09 07:32:02)
- Each test case is identified by a Test Case ID that can be referenced from other testing software and all testers regardless of access to. 
- Insert rows for new test cases</t>
      </text>
    </comment>
    <comment ref="D7" authorId="0">
      <text>
        <t xml:space="preserve">======
ID#AAABsK4CydA
DUCHU    (2025-10-09 07:32:02)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ref="G7" authorId="0">
      <text>
        <t xml:space="preserve">======
ID#AAABsK4Cycs
DUCHU    (2025-10-09 07:32:02)
Ignore this column (hide the columns) if test procedures are not required</t>
      </text>
    </comment>
    <comment ref="I7" authorId="0">
      <text>
        <t xml:space="preserve">======
ID#AAABsK4Cydg
DUCHU    (2025-10-09 07:32:02)
- Expected Results are the resulting state or data received upon completion of executing this test case</t>
      </text>
    </comment>
    <comment ref="K7" authorId="0">
      <text>
        <t xml:space="preserve">======
ID#AAABsK4CydE
DUCHU    (2025-10-09 07:32:02)
- An executed test case can be either:
 + Passed
 + Failed
- A test case can have Not Run status if it is not executed yet
- A test case can hae Not Completed status if its execution is not completed</t>
      </text>
    </comment>
    <comment ref="G8" authorId="0">
      <text>
        <t xml:space="preserve">======
ID#AAABsK4Cycw
DUCHU    (2025-10-09 07:32:02)
- It is recommended to use 1 row for a step.</t>
      </text>
    </comment>
    <comment ref="H8" authorId="0">
      <text>
        <t xml:space="preserve">======
ID#AAABsK4CydQ
DUCHU    (2025-10-09 07:32:02)
Optional</t>
      </text>
    </comment>
  </commentList>
</comments>
</file>

<file path=xl/comments6.xml><?xml version="1.0" encoding="utf-8"?>
<comments xmlns="http://schemas.openxmlformats.org/spreadsheetml/2006/main">
  <authors>
    <author>sheetjsghost</author>
  </authors>
  <commentList>
    <comment ref="B7" authorId="0">
      <text>
        <t xml:space="preserve">======
ID#AAABsKpTqe4
DUCHU    (2025-10-09 07:32:02)
Use this column to group test cases. If no goup is identified, hide this column.</t>
      </text>
    </comment>
    <comment ref="C7" authorId="0">
      <text>
        <t xml:space="preserve">======
ID#AAABsK4CydY
DUCHU    (2025-10-09 07:32:02)
- Each test case is identified by a Test Case ID that can be referenced from other testing software and all testers regardless of access to. 
- Insert rows for new test cases</t>
      </text>
    </comment>
    <comment ref="D7" authorId="0">
      <text>
        <t xml:space="preserve">======
ID#AAABsK4CycM
DUCHU    (2025-10-09 07:32:02)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ref="G7" authorId="0">
      <text>
        <t xml:space="preserve">======
ID#AAABsK4Cydw
DUCHU    (2025-10-09 07:32:02)
Ignore this column (hide the columns) if test procedures are not required</t>
      </text>
    </comment>
    <comment ref="I7" authorId="0">
      <text>
        <t xml:space="preserve">======
ID#AAABsKpTqe0
DUCHU    (2025-10-09 07:32:02)
- Expected Results are the resulting state or data received upon completion of executing this test case</t>
      </text>
    </comment>
    <comment ref="K7" authorId="0">
      <text>
        <t xml:space="preserve">======
ID#AAABsK4Cydk
DUCHU    (2025-10-09 07:32:02)
- An executed test case can be either:
 + Passed
 + Failed
- A test case can have Not Run status if it is not executed yet
- A test case can hae Not Completed status if its execution is not completed</t>
      </text>
    </comment>
    <comment ref="G8" authorId="0">
      <text>
        <t xml:space="preserve">======
ID#AAABsK4Cycg
DUCHU    (2025-10-09 07:32:02)
- It is recommended to use 1 row for a step.</t>
      </text>
    </comment>
    <comment ref="H8" authorId="0">
      <text>
        <t xml:space="preserve">======
ID#AAABsK4CydU
DUCHU    (2025-10-09 07:32:02)
Optional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mmm\ d\,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Pls. Place customer Company (if any) here</v>
      </c>
      <c r="N1" t="str">
        <v>Pls. Place customer logo (if any) here</v>
      </c>
    </row>
    <row r="9">
      <c r="F9" t="str">
        <v>&lt;Project Name&gt;</v>
      </c>
    </row>
    <row r="10">
      <c r="E10" t="str">
        <v>Test Cases (for use case/req list ABC)</v>
      </c>
    </row>
    <row r="13">
      <c r="B13" t="str">
        <v>Header</v>
      </c>
    </row>
    <row r="14">
      <c r="B14" t="str">
        <v>Date</v>
      </c>
      <c r="D14" t="str">
        <v>Version</v>
      </c>
      <c r="F14" t="str">
        <v>Status</v>
      </c>
      <c r="H14" t="str">
        <v>Author</v>
      </c>
      <c r="K14" t="str">
        <v>Reviewed by</v>
      </c>
      <c r="N14" t="str">
        <v>Approved by</v>
      </c>
    </row>
    <row r="15">
      <c r="B15" t="str">
        <v>&lt;mmmm/dd/yyyy&gt;</v>
      </c>
      <c r="D15" t="str">
        <v>&lt;x.x&gt;</v>
      </c>
    </row>
    <row r="16">
      <c r="B16" t="str">
        <v>Revision History</v>
      </c>
    </row>
    <row r="17">
      <c r="B17" t="str">
        <v>Date</v>
      </c>
      <c r="D17" t="str">
        <v>Version</v>
      </c>
      <c r="F17" t="str">
        <v>Description</v>
      </c>
      <c r="K17" t="str">
        <v>Author</v>
      </c>
    </row>
    <row r="18">
      <c r="B18" t="str">
        <v>&lt;mmmm/dd/yyyy&gt;</v>
      </c>
      <c r="D18" t="str">
        <v>&lt;x.x&gt;</v>
      </c>
    </row>
    <row r="23">
      <c r="B23" t="str">
        <v>References</v>
      </c>
    </row>
    <row r="24">
      <c r="B24" t="str">
        <v>Name</v>
      </c>
      <c r="I24" t="str">
        <v>Version</v>
      </c>
      <c r="K24" t="str">
        <v>Path</v>
      </c>
    </row>
    <row r="27">
      <c r="B27" t="str">
        <v>Execution History</v>
      </c>
    </row>
    <row r="28">
      <c r="B28" t="str">
        <v>Date of Execution</v>
      </c>
      <c r="D28" t="str">
        <v>Executed by</v>
      </c>
      <c r="G28" t="str">
        <v>Build Under Test</v>
      </c>
    </row>
    <row r="35">
      <c r="B35" t="str">
        <v>Note: Pls. Remove inappropriate sheet(s), and/or add more sheets as needed</v>
      </c>
    </row>
    <row r="36">
      <c r="B36" t="str">
        <v>Pls. Remove italic blue texts.</v>
      </c>
    </row>
  </sheetData>
  <mergeCells count="74">
    <mergeCell ref="B21:C21"/>
    <mergeCell ref="D21:E21"/>
    <mergeCell ref="F21:J21"/>
    <mergeCell ref="K21:M21"/>
    <mergeCell ref="B22:C22"/>
    <mergeCell ref="D22:E22"/>
    <mergeCell ref="K22:M22"/>
    <mergeCell ref="F22:J22"/>
    <mergeCell ref="B23:M23"/>
    <mergeCell ref="B24:H24"/>
    <mergeCell ref="I24:J24"/>
    <mergeCell ref="K24:M24"/>
    <mergeCell ref="I25:J25"/>
    <mergeCell ref="K25:M25"/>
    <mergeCell ref="B28:C28"/>
    <mergeCell ref="B29:C29"/>
    <mergeCell ref="D29:F29"/>
    <mergeCell ref="G29:H29"/>
    <mergeCell ref="B30:C30"/>
    <mergeCell ref="D30:F30"/>
    <mergeCell ref="G30:H30"/>
    <mergeCell ref="D33:F33"/>
    <mergeCell ref="G33:H33"/>
    <mergeCell ref="B34:C34"/>
    <mergeCell ref="D34:F34"/>
    <mergeCell ref="G34:H34"/>
    <mergeCell ref="B31:C31"/>
    <mergeCell ref="D31:F31"/>
    <mergeCell ref="G31:H31"/>
    <mergeCell ref="B32:C32"/>
    <mergeCell ref="D32:F32"/>
    <mergeCell ref="G32:H32"/>
    <mergeCell ref="B33:C33"/>
    <mergeCell ref="K14:M14"/>
    <mergeCell ref="N14:P14"/>
    <mergeCell ref="K15:M15"/>
    <mergeCell ref="N15:P15"/>
    <mergeCell ref="A1:E5"/>
    <mergeCell ref="N1:P5"/>
    <mergeCell ref="F9:K9"/>
    <mergeCell ref="E10:L10"/>
    <mergeCell ref="B13:P13"/>
    <mergeCell ref="B14:C14"/>
    <mergeCell ref="D14:E14"/>
    <mergeCell ref="F14:G14"/>
    <mergeCell ref="H14:J14"/>
    <mergeCell ref="B15:C15"/>
    <mergeCell ref="D15:E15"/>
    <mergeCell ref="F15:G15"/>
    <mergeCell ref="H15:J15"/>
    <mergeCell ref="B16:M16"/>
    <mergeCell ref="B17:C17"/>
    <mergeCell ref="D17:E17"/>
    <mergeCell ref="F17:J17"/>
    <mergeCell ref="K17:M17"/>
    <mergeCell ref="D18:E18"/>
    <mergeCell ref="F18:J18"/>
    <mergeCell ref="K18:M18"/>
    <mergeCell ref="F20:J20"/>
    <mergeCell ref="K20:M20"/>
    <mergeCell ref="B18:C18"/>
    <mergeCell ref="B19:C19"/>
    <mergeCell ref="D19:E19"/>
    <mergeCell ref="F19:J19"/>
    <mergeCell ref="K19:M19"/>
    <mergeCell ref="B20:C20"/>
    <mergeCell ref="D20:E20"/>
    <mergeCell ref="B25:H25"/>
    <mergeCell ref="B26:H26"/>
    <mergeCell ref="I26:J26"/>
    <mergeCell ref="K26:M26"/>
    <mergeCell ref="B27:M27"/>
    <mergeCell ref="D28:F28"/>
    <mergeCell ref="G28:H28"/>
  </mergeCells>
  <pageMargins left="0.7" right="0.7" top="0.75" bottom="0.75" header="0" footer="0"/>
  <ignoredErrors>
    <ignoredError numberStoredAsText="1" sqref="A1:N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0"/>
  <sheetViews>
    <sheetView workbookViewId="0" rightToLeft="0"/>
  </sheetViews>
  <sheetData>
    <row r="1">
      <c r="B1" t="str">
        <v>Note: This page is used for description of any Definition and/or Abbreviation for the project Test Cases.</v>
      </c>
    </row>
    <row r="2">
      <c r="B2" t="str">
        <v>The page can be maintained in one Test Case spreadsheet only (The Generic Test Case spreadsheet is recommended to contain this page)</v>
      </c>
    </row>
    <row r="4">
      <c r="A4" t="str">
        <v>Definition</v>
      </c>
    </row>
    <row r="5">
      <c r="B5" t="str">
        <v>Terms</v>
      </c>
      <c r="E5" t="str">
        <v>Description</v>
      </c>
    </row>
    <row r="16">
      <c r="B16" t="str">
        <v>Abbreviation</v>
      </c>
    </row>
    <row r="17">
      <c r="B17" t="str">
        <v>Abbreviation</v>
      </c>
      <c r="E17" t="str">
        <v>Description</v>
      </c>
    </row>
  </sheetData>
  <mergeCells count="56">
    <mergeCell ref="B1:K1"/>
    <mergeCell ref="B2:N2"/>
    <mergeCell ref="A4:O4"/>
    <mergeCell ref="B5:D5"/>
    <mergeCell ref="E5:O5"/>
    <mergeCell ref="B6:D6"/>
    <mergeCell ref="E6:O6"/>
    <mergeCell ref="B7:D7"/>
    <mergeCell ref="E7:O7"/>
    <mergeCell ref="B8:D8"/>
    <mergeCell ref="E8:O8"/>
    <mergeCell ref="B9:D9"/>
    <mergeCell ref="E9:O9"/>
    <mergeCell ref="E10:O10"/>
    <mergeCell ref="B10:D10"/>
    <mergeCell ref="B11:D11"/>
    <mergeCell ref="B12:D12"/>
    <mergeCell ref="B13:D13"/>
    <mergeCell ref="B14:D14"/>
    <mergeCell ref="B15:D15"/>
    <mergeCell ref="B17:D17"/>
    <mergeCell ref="E11:O11"/>
    <mergeCell ref="E12:O12"/>
    <mergeCell ref="E13:O13"/>
    <mergeCell ref="E14:O14"/>
    <mergeCell ref="E15:O15"/>
    <mergeCell ref="B16:O16"/>
    <mergeCell ref="E17:O17"/>
    <mergeCell ref="B25:D25"/>
    <mergeCell ref="B26:D26"/>
    <mergeCell ref="B27:D27"/>
    <mergeCell ref="B28:D28"/>
    <mergeCell ref="B29:D29"/>
    <mergeCell ref="B30:D30"/>
    <mergeCell ref="B31:D31"/>
    <mergeCell ref="B18:D18"/>
    <mergeCell ref="B19:D19"/>
    <mergeCell ref="B20:D20"/>
    <mergeCell ref="B21:D21"/>
    <mergeCell ref="B22:D22"/>
    <mergeCell ref="B23:D23"/>
    <mergeCell ref="B24:D24"/>
    <mergeCell ref="E25:O25"/>
    <mergeCell ref="E26:O26"/>
    <mergeCell ref="E27:O27"/>
    <mergeCell ref="E28:O28"/>
    <mergeCell ref="E29:O29"/>
    <mergeCell ref="E30:O30"/>
    <mergeCell ref="E31:O31"/>
    <mergeCell ref="E18:O18"/>
    <mergeCell ref="E19:O19"/>
    <mergeCell ref="E20:O20"/>
    <mergeCell ref="E21:O21"/>
    <mergeCell ref="E22:O22"/>
    <mergeCell ref="E23:O23"/>
    <mergeCell ref="E24:O24"/>
  </mergeCells>
  <pageMargins left="0.7" right="0.7" top="0.75" bottom="0.75" header="0" footer="0"/>
  <ignoredErrors>
    <ignoredError numberStoredAsText="1" sqref="A1:E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030"/>
  <sheetViews>
    <sheetView workbookViewId="0" rightToLeft="0"/>
  </sheetViews>
  <sheetData>
    <row r="1">
      <c r="A1" t="str">
        <v>Function Test Cases</v>
      </c>
    </row>
    <row r="2">
      <c r="G2" t="str">
        <v>Passed</v>
      </c>
      <c r="H2">
        <f>COUNTIF($K$9:$K$2031, "Passed")</f>
        <v>0</v>
      </c>
    </row>
    <row r="3">
      <c r="G3" t="str">
        <v>Failed</v>
      </c>
      <c r="H3">
        <f>COUNTIF($K$9:$K$2031, "Failed")</f>
        <v>0</v>
      </c>
    </row>
    <row r="4">
      <c r="G4" t="str">
        <v>Not Run</v>
      </c>
      <c r="H4">
        <f>COUNTIF($K$9:$K$2031, "Not Run")</f>
        <v>0</v>
      </c>
    </row>
    <row r="5">
      <c r="G5" t="str">
        <v>Not Completed</v>
      </c>
      <c r="H5">
        <f>COUNTIF($K$9:$K$2031, "Not Completed")</f>
        <v>0</v>
      </c>
    </row>
    <row r="6">
      <c r="G6" t="str">
        <v>Number of test cases</v>
      </c>
      <c r="H6">
        <f>COUNTA(C9:C2030)</f>
        <v>19</v>
      </c>
    </row>
    <row r="7">
      <c r="B7" t="str">
        <v>Category</v>
      </c>
      <c r="C7" t="str">
        <v>Test Case ID</v>
      </c>
      <c r="D7" t="str">
        <v>Test Case Description</v>
      </c>
      <c r="E7" t="str">
        <v>PreRequisites</v>
      </c>
      <c r="F7" t="str">
        <v>Steps</v>
      </c>
      <c r="G7" t="str">
        <v>Test Procedures</v>
      </c>
      <c r="I7" t="str">
        <v>Test Case Expected Result</v>
      </c>
      <c r="J7" t="str">
        <v>Actual Result</v>
      </c>
      <c r="K7" t="str">
        <v>Status</v>
      </c>
      <c r="L7" t="str">
        <v>Note</v>
      </c>
    </row>
    <row r="8">
      <c r="G8" t="str">
        <v>Steps to Perform</v>
      </c>
      <c r="H8" t="str">
        <v>Step Expected Result</v>
      </c>
    </row>
    <row r="9" xml:space="preserve">
      <c r="B9" t="str">
        <v>Register</v>
      </c>
      <c r="C9" t="str">
        <v>REG-01</v>
      </c>
      <c r="D9" t="str">
        <v>Register with valid information</v>
      </c>
      <c r="E9" t="str">
        <v>Email is not registed in the system</v>
      </c>
      <c r="F9">
        <v>1</v>
      </c>
      <c r="G9" t="str" xml:space="preserve">
        <v xml:space="preserve">Truy cập trang Register
</v>
      </c>
      <c r="H9" t="str">
        <v>Form hiển thị</v>
      </c>
      <c r="I9" t="str">
        <v>201 Created – “Register success”</v>
      </c>
    </row>
    <row r="10" xml:space="preserve">
      <c r="F10">
        <v>2</v>
      </c>
      <c r="G10" t="str" xml:space="preserve">
        <v xml:space="preserve">Nhập email và password hợp lệ
</v>
      </c>
      <c r="H10" t="str">
        <v>Email hợp lệ &amp; Password hợp lệ</v>
      </c>
    </row>
    <row r="11">
      <c r="F11">
        <v>3</v>
      </c>
      <c r="G11" t="str">
        <v>Nhập confirm password trùng khớp</v>
      </c>
      <c r="H11" t="str">
        <v>Password match</v>
      </c>
    </row>
    <row r="12">
      <c r="F12">
        <v>4</v>
      </c>
      <c r="G12" t="str">
        <v>Click “Register”</v>
      </c>
      <c r="H12" t="str">
        <v>Request được gửi đi</v>
      </c>
    </row>
    <row r="13" xml:space="preserve">
      <c r="C13" t="str">
        <v>REG-02</v>
      </c>
      <c r="D13" t="str">
        <v>Register with an existing email</v>
      </c>
      <c r="E13" t="str" xml:space="preserve">
        <v xml:space="preserve">Email existed in the system
</v>
      </c>
      <c r="F13">
        <v>1</v>
      </c>
      <c r="G13" t="str">
        <v>Open Register</v>
      </c>
      <c r="H13" t="str">
        <v>Form hiển thị</v>
      </c>
      <c r="I13" t="str">
        <v>400 – “Email already exists”</v>
      </c>
    </row>
    <row r="14">
      <c r="F14">
        <v>2</v>
      </c>
      <c r="G14" t="str">
        <v>Nhập email đã đăng ký</v>
      </c>
      <c r="H14" t="str">
        <v>Email bị trùng</v>
      </c>
    </row>
    <row r="15">
      <c r="F15">
        <v>3</v>
      </c>
      <c r="G15" t="str">
        <v>Submit</v>
      </c>
      <c r="H15" t="str">
        <v>Hệ thống báo lỗi</v>
      </c>
    </row>
    <row r="16">
      <c r="C16" t="str">
        <v>REG-03</v>
      </c>
      <c r="D16" t="str">
        <v>Register with mismatching passwords</v>
      </c>
      <c r="E16" t="str">
        <v>Email existed in the system</v>
      </c>
      <c r="F16">
        <v>1</v>
      </c>
      <c r="G16" t="str">
        <v>Mở form register</v>
      </c>
      <c r="H16" t="str">
        <v>Form hiển thị</v>
      </c>
      <c r="I16" t="str">
        <v>400 – “Password mismatch”</v>
      </c>
    </row>
    <row r="17" xml:space="preserve">
      <c r="A17" t="str">
        <v>UC1: Register Account</v>
      </c>
      <c r="B17" t="str">
        <v>REG-01</v>
      </c>
      <c r="C17" t="str">
        <v>Register with valid information</v>
      </c>
      <c r="D17" t="str">
        <v>Email is not registered in the system</v>
      </c>
      <c r="E17" t="str" xml:space="preserve">
        <v xml:space="preserve">Step 1: Navigate to Sign Up page
Expected: Registration form displays with Email, Password, and Confirm Password fields
Step 2: Enter valid email (e.g., user@example.com)
Expected: Email field accepts input without error
Step 3: Enter valid password (min 8 chars, contains letter and number)
Expected: Password field accepts input, shows strength indicator
Step 4: Enter matching password in Confirm Password field
Expected: Confirm Password field accepts input, no mismatch error
Step 5: Click 'Sign Up' button
Expected: Request is sent to server</v>
      </c>
      <c r="F17" t="str">
        <v/>
      </c>
      <c r="G17" t="str">
        <v>201 Created – Account created with status 'Unverified', OTP sent to email, user redirected to verification page</v>
      </c>
      <c r="H17" t="str">
        <v/>
      </c>
      <c r="I17" t="str">
        <v>Passed</v>
      </c>
      <c r="J17" t="str">
        <v/>
      </c>
    </row>
    <row r="18" xml:space="preserve">
      <c r="A18" t="str">
        <v>UC1: Register Account</v>
      </c>
      <c r="B18" t="str">
        <v>REG-02</v>
      </c>
      <c r="C18" t="str">
        <v>Register with existing email</v>
      </c>
      <c r="D18" t="str">
        <v>Email 'existing@test.com' already exists in system</v>
      </c>
      <c r="E18" t="str" xml:space="preserve">
        <v xml:space="preserve">Step 1: Open Registration page
Expected: Registration form displays
Step 2: Enter email 'existing@test.com'
Expected: Email field accepts input
Step 3: Enter valid password and confirm password
Expected: Password fields accept input
Step 4: Click 'Sign Up' button
Expected: Request is sent</v>
      </c>
      <c r="F18" t="str">
        <v/>
      </c>
      <c r="G18" t="str">
        <v>400 Bad Request – Error message: 'Email already exists' displayed to user</v>
      </c>
      <c r="H18" t="str">
        <v/>
      </c>
      <c r="I18" t="str">
        <v>Failed</v>
      </c>
      <c r="J18" t="str">
        <v/>
      </c>
    </row>
    <row r="19" xml:space="preserve">
      <c r="A19" t="str">
        <v>UC1: Register Account</v>
      </c>
      <c r="B19" t="str">
        <v>REG-03</v>
      </c>
      <c r="C19" t="str">
        <v>Register with mismatching passwords</v>
      </c>
      <c r="D19" t="str">
        <v>None</v>
      </c>
      <c r="E19" t="str" xml:space="preserve">
        <v xml:space="preserve">Step 1: Navigate to Registration page
Expected: Registration form displays
Step 2: Enter valid email
Expected: Email field accepts input
Step 3: Enter password 'Password123'
Expected: Password field accepts input
Step 4: Enter confirm password 'Password456' (different)
Expected: System detects mismatch
Step 5: Click 'Sign Up' button
Expected: Validation error occurs</v>
      </c>
      <c r="F19" t="str">
        <v/>
      </c>
      <c r="G19" t="str">
        <v>400 Validation Error – Error message: 'Passwords do not match' displayed below Confirm Password field</v>
      </c>
      <c r="H19" t="str">
        <v/>
      </c>
      <c r="I19" t="str">
        <v>Failed</v>
      </c>
      <c r="J19" t="str">
        <v/>
      </c>
    </row>
    <row r="20" xml:space="preserve">
      <c r="A20" t="str">
        <v>UC1: Register Account</v>
      </c>
      <c r="B20" t="str">
        <v>REG-04</v>
      </c>
      <c r="C20" t="str">
        <v>Register with invalid email format</v>
      </c>
      <c r="D20" t="str">
        <v>None</v>
      </c>
      <c r="E20" t="str" xml:space="preserve">
        <v xml:space="preserve">Step 1: Open Registration page
Expected: Registration form displays
Step 2: Enter invalid email 'notanemail' (no @ or domain)
Expected: Email field accepts input
Step 3: Enter valid password and confirm password
Expected: Password fields accept input
Step 4: Click 'Sign Up' button
Expected: Client-side validation triggers</v>
      </c>
      <c r="F20" t="str">
        <v/>
      </c>
      <c r="G20" t="str">
        <v>400 Validation Error – Error message: 'Invalid email format' displayed below email field</v>
      </c>
      <c r="H20" t="str">
        <v/>
      </c>
      <c r="I20" t="str">
        <v>Failed</v>
      </c>
      <c r="J20" t="str">
        <v/>
      </c>
    </row>
    <row r="21" xml:space="preserve">
      <c r="A21" t="str">
        <v>UC1: Register Account</v>
      </c>
      <c r="B21" t="str">
        <v>REG-05</v>
      </c>
      <c r="C21" t="str">
        <v>Register with weak password</v>
      </c>
      <c r="D21" t="str">
        <v>None</v>
      </c>
      <c r="E21" t="str" xml:space="preserve">
        <v xml:space="preserve">Step 1: Navigate to Registration page
Expected: Form displays
Step 2: Enter valid email
Expected: Email accepted
Step 3: Enter weak password '123' (less than 8 chars)
Expected: Password field accepts input
Step 4: Enter same password in confirm field
Expected: Passwords match
Step 5: Click 'Sign Up'
Expected: Validation occurs</v>
      </c>
      <c r="F21" t="str">
        <v/>
      </c>
      <c r="G21" t="str">
        <v>400 Validation Error – Error: 'Password must be at least 8 characters' displayed</v>
      </c>
      <c r="H21" t="str">
        <v/>
      </c>
      <c r="I21" t="str">
        <v>Failed</v>
      </c>
      <c r="J21" t="str">
        <v/>
      </c>
    </row>
    <row r="22" xml:space="preserve">
      <c r="A22" t="str">
        <v>UC2: Verify Account</v>
      </c>
      <c r="B22" t="str">
        <v>VER-01</v>
      </c>
      <c r="C22" t="str">
        <v>Verify account with valid OTP</v>
      </c>
      <c r="D22" t="str">
        <v>User registered, OTP sent to email, account status is 'Unverified'</v>
      </c>
      <c r="E22" t="str" xml:space="preserve">
        <v xml:space="preserve">Step 1: Navigate to verification page
Expected: OTP input field displays with 6 digits
Step 2: Check email for OTP code
Expected: Email received with valid 6-digit OTP
Step 3: Enter correct OTP (e.g., 123456)
Expected: OTP field accepts all 6 digits
Step 4: Click 'Verify' button
Expected: Verification request sent to server</v>
      </c>
      <c r="F22" t="str">
        <v/>
      </c>
      <c r="G22" t="str">
        <v>200 OK – Account status changed to 'Verified', success message displayed, user redirected to login page</v>
      </c>
      <c r="H22" t="str">
        <v/>
      </c>
      <c r="I22" t="str">
        <v>Passed</v>
      </c>
      <c r="J22" t="str">
        <v/>
      </c>
    </row>
    <row r="23" xml:space="preserve">
      <c r="A23" t="str">
        <v>UC2: Verify Account</v>
      </c>
      <c r="B23" t="str">
        <v>VER-02</v>
      </c>
      <c r="C23" t="str">
        <v>Verify account with incorrect OTP</v>
      </c>
      <c r="D23" t="str">
        <v>User registered, valid OTP is '123456'</v>
      </c>
      <c r="E23" t="str" xml:space="preserve">
        <v xml:space="preserve">Step 1: Open verification page
Expected: OTP input displays
Step 2: Enter incorrect OTP '999999'
Expected: OTP field accepts input
Step 3: Click 'Verify' button
Expected: Request sent</v>
      </c>
      <c r="F23" t="str">
        <v/>
      </c>
      <c r="G23" t="str">
        <v>400 Bad Request – Error message: 'Invalid OTP code' displayed, OTP field cleared, user can retry</v>
      </c>
      <c r="H23" t="str">
        <v/>
      </c>
      <c r="I23" t="str">
        <v>Failed</v>
      </c>
      <c r="J23" t="str">
        <v/>
      </c>
    </row>
    <row r="24" xml:space="preserve">
      <c r="A24" t="str">
        <v>UC2: Verify Account</v>
      </c>
      <c r="B24" t="str">
        <v>VER-03</v>
      </c>
      <c r="C24" t="str">
        <v>Verify account with expired OTP</v>
      </c>
      <c r="D24" t="str">
        <v>User registered 15 minutes ago, OTP expired after 10 minutes</v>
      </c>
      <c r="E24" t="str" xml:space="preserve">
        <v xml:space="preserve">Step 1: Navigate to verification page
Expected: OTP input displays
Step 2: Enter the expired OTP code
Expected: OTP field accepts input
Step 3: Click 'Verify' button
Expected: Request sent to server
Step 4: System checks OTP expiry time
Expected: OTP is expired</v>
      </c>
      <c r="F24" t="str">
        <v/>
      </c>
      <c r="G24" t="str">
        <v>400 Bad Request – Error: 'OTP has expired. Please request a new one.' with 'Resend OTP' button visible</v>
      </c>
      <c r="H24" t="str">
        <v/>
      </c>
      <c r="I24" t="str">
        <v>Failed</v>
      </c>
      <c r="J24" t="str">
        <v/>
      </c>
    </row>
    <row r="25" xml:space="preserve">
      <c r="A25" t="str">
        <v>UC2: Verify Account</v>
      </c>
      <c r="B25" t="str">
        <v>VER-04</v>
      </c>
      <c r="C25" t="str">
        <v>Verify with incomplete OTP</v>
      </c>
      <c r="D25" t="str">
        <v>User registered, OTP sent</v>
      </c>
      <c r="E25" t="str" xml:space="preserve">
        <v xml:space="preserve">Step 1: Open verification page
Expected: OTP input displays
Step 2: Enter only 4 digits '1234' (incomplete)
Expected: OTP field shows 4 digits
Step 3: Click 'Verify' button
Expected: Validation check occurs</v>
      </c>
      <c r="F25" t="str">
        <v/>
      </c>
      <c r="G25" t="str">
        <v>400 Validation Error – Error: 'Please enter complete 6-digit OTP' displayed, Verify button disabled until 6 digits entered</v>
      </c>
      <c r="H25" t="str">
        <v/>
      </c>
      <c r="I25" t="str">
        <v>Failed</v>
      </c>
      <c r="J25" t="str">
        <v/>
      </c>
    </row>
    <row r="26" xml:space="preserve">
      <c r="A26" t="str">
        <v>UC3: Resend OTP</v>
      </c>
      <c r="B26" t="str">
        <v>OTP-01</v>
      </c>
      <c r="C26" t="str">
        <v>Resend OTP for unverified account</v>
      </c>
      <c r="D26" t="str">
        <v>User account exists with status 'Unverified'</v>
      </c>
      <c r="E26" t="str" xml:space="preserve">
        <v xml:space="preserve">Step 1: Navigate to verification page
Expected: Page displays with 'Resend OTP' button
Step 2: Click 'Resend OTP' button
Expected: Request sent to server
Step 3: System generates new OTP
Expected: New OTP generated and old OTP invalidated
Step 4: Check email inbox
Expected: New OTP email received</v>
      </c>
      <c r="F26" t="str">
        <v/>
      </c>
      <c r="G26" t="str">
        <v>200 OK – New OTP sent to email, success message: 'OTP has been resent to your email', cooldown timer starts (60 seconds)</v>
      </c>
      <c r="H26" t="str">
        <v/>
      </c>
      <c r="I26" t="str">
        <v>Passed</v>
      </c>
      <c r="J26" t="str">
        <v/>
      </c>
    </row>
    <row r="27" xml:space="preserve">
      <c r="A27" t="str">
        <v>UC3: Resend OTP</v>
      </c>
      <c r="B27" t="str">
        <v>OTP-02</v>
      </c>
      <c r="C27" t="str">
        <v>Resend OTP for already verified account</v>
      </c>
      <c r="D27" t="str">
        <v>User account is already verified</v>
      </c>
      <c r="E27" t="str" xml:space="preserve">
        <v xml:space="preserve">Step 1: Try to access verification page with verified account token
Expected: System checks account status
Step 2: Click 'Resend OTP' button
Expected: Request blocked</v>
      </c>
      <c r="F27" t="str">
        <v/>
      </c>
      <c r="G27" t="str">
        <v>403 Forbidden – Error: 'Account is already verified', user redirected to dashboard</v>
      </c>
      <c r="H27" t="str">
        <v/>
      </c>
      <c r="I27" t="str">
        <v>Failed</v>
      </c>
      <c r="J27" t="str">
        <v/>
      </c>
    </row>
    <row r="28" xml:space="preserve">
      <c r="A28" t="str">
        <v>UC3: Resend OTP</v>
      </c>
      <c r="B28" t="str">
        <v>OTP-03</v>
      </c>
      <c r="C28" t="str">
        <v>Resend OTP multiple times (rate limit)</v>
      </c>
      <c r="D28" t="str">
        <v>User unverified, already requested OTP 3 times in last minute</v>
      </c>
      <c r="E28" t="str" xml:space="preserve">
        <v xml:space="preserve">Step 1: Open verification page
Expected: Page displays
Step 2: Click 'Resend OTP' 4th time within 1 minute
Expected: Request sent
Step 3: System checks rate limit
Expected: Rate limit exceeded</v>
      </c>
      <c r="F28" t="str">
        <v/>
      </c>
      <c r="G28" t="str">
        <v>429 Too Many Requests – Error: 'Too many requests. Please wait 60 seconds before trying again', Resend button disabled with countdown timer</v>
      </c>
      <c r="H28" t="str">
        <v/>
      </c>
      <c r="I28" t="str">
        <v>Failed</v>
      </c>
      <c r="J28" t="str">
        <v/>
      </c>
    </row>
    <row r="29" xml:space="preserve">
      <c r="A29" t="str">
        <v>UC4: Login</v>
      </c>
      <c r="B29" t="str">
        <v>LOG-01</v>
      </c>
      <c r="C29" t="str">
        <v>Login with valid credentials</v>
      </c>
      <c r="D29" t="str">
        <v>User account exists, verified, email: 'user@test.com', password: 'ValidPass123'</v>
      </c>
      <c r="E29" t="str" xml:space="preserve">
        <v xml:space="preserve">Step 1: Navigate to Login page
Expected: Login form displays with Email and Password fields
Step 2: Enter email 'user@test.com'
Expected: Email field accepts input
Step 3: Enter password 'ValidPass123'
Expected: Password field shows masked characters
Step 4: Click 'Login' button
Expected: Login request sent to server
Step 5: System validates credentials
Expected: Credentials match database</v>
      </c>
      <c r="F29" t="str">
        <v/>
      </c>
      <c r="G29" t="str">
        <v>200 OK – JWT token generated, user authenticated, redirected to dashboard, session created</v>
      </c>
      <c r="H29" t="str">
        <v/>
      </c>
      <c r="I29" t="str">
        <v>Passed</v>
      </c>
      <c r="J29" t="str">
        <v/>
      </c>
    </row>
    <row r="30" xml:space="preserve">
      <c r="A30" t="str">
        <v>UC4: Login</v>
      </c>
      <c r="B30" t="str">
        <v>LOG-02</v>
      </c>
      <c r="C30" t="str">
        <v>Login with incorrect password</v>
      </c>
      <c r="D30" t="str">
        <v>Valid user exists with email 'user@test.com'</v>
      </c>
      <c r="E30" t="str" xml:space="preserve">
        <v xml:space="preserve">Step 1: Open Login page
Expected: Login form displays
Step 2: Enter correct email 'user@test.com'
Expected: Email accepted
Step 3: Enter wrong password 'WrongPass123'
Expected: Password field accepts input
Step 4: Click 'Login' button
Expected: Authentication attempted</v>
      </c>
      <c r="F30" t="str">
        <v/>
      </c>
      <c r="G30" t="str">
        <v>401 Unauthorized – Error message: 'Invalid email or password' displayed, login attempt logged, user remains on login page</v>
      </c>
      <c r="H30" t="str">
        <v/>
      </c>
      <c r="I30" t="str">
        <v>Failed</v>
      </c>
      <c r="J30" t="str">
        <v/>
      </c>
    </row>
    <row r="31" xml:space="preserve">
      <c r="A31" t="str">
        <v>UC4: Login</v>
      </c>
      <c r="B31" t="str">
        <v>LOG-03</v>
      </c>
      <c r="C31" t="str">
        <v>Login with unverified account</v>
      </c>
      <c r="D31" t="str">
        <v>User registered but not verified OTP</v>
      </c>
      <c r="E31" t="str" xml:space="preserve">
        <v xml:space="preserve">Step 1: Navigate to Login page
Expected: Form displays
Step 2: Enter unverified account credentials
Expected: Credentials accepted
Step 3: Click 'Login'
Expected: Request sent
Step 4: System checks account verification status
Expected: Status is 'Unverified'</v>
      </c>
      <c r="F31" t="str">
        <v/>
      </c>
      <c r="G31" t="str">
        <v>403 Forbidden – Error: 'Please verify your email first', link to resend verification OTP provided</v>
      </c>
      <c r="H31" t="str">
        <v/>
      </c>
      <c r="I31" t="str">
        <v>Failed</v>
      </c>
      <c r="J31" t="str">
        <v/>
      </c>
    </row>
    <row r="32" xml:space="preserve">
      <c r="A32" t="str">
        <v>UC4: Login</v>
      </c>
      <c r="B32" t="str">
        <v>LOG-04</v>
      </c>
      <c r="C32" t="str">
        <v>Login with non-existent email</v>
      </c>
      <c r="D32" t="str">
        <v>Email 'notexist@test.com' does not exist in system</v>
      </c>
      <c r="E32" t="str" xml:space="preserve">
        <v xml:space="preserve">Step 1: Open Login page
Expected: Form displays
Step 2: Enter non-existent email
Expected: Email field accepts input
Step 3: Enter any password
Expected: Password accepted
Step 4: Click 'Login'
Expected: Authentication checked</v>
      </c>
      <c r="F32" t="str">
        <v/>
      </c>
      <c r="G32" t="str">
        <v>401 Unauthorized – Error: 'Invalid email or password' (generic message for security), no hint about email existence</v>
      </c>
      <c r="H32" t="str">
        <v/>
      </c>
      <c r="I32" t="str">
        <v>Failed</v>
      </c>
      <c r="J32" t="str">
        <v/>
      </c>
    </row>
    <row r="33" xml:space="preserve">
      <c r="A33" t="str">
        <v>UC5: Logout</v>
      </c>
      <c r="B33" t="str">
        <v>LOGOUT-01</v>
      </c>
      <c r="C33" t="str">
        <v>Logout successfully</v>
      </c>
      <c r="D33" t="str">
        <v>User is logged in with valid session token</v>
      </c>
      <c r="E33" t="str" xml:space="preserve">
        <v xml:space="preserve">Step 1: User is on dashboard with active session
Expected: Dashboard displays with 'Logout' button visible
Step 2: Click 'Logout' button in header/menu
Expected: Logout confirmation dialog appears
Step 3: Confirm logout action
Expected: Logout request sent to server
Step 4: System invalidates session token
Expected: JWT/session cleared from server</v>
      </c>
      <c r="F33" t="str">
        <v/>
      </c>
      <c r="G33" t="str">
        <v>200 OK – Session terminated, user redirected to login page, cannot access protected routes, success message: 'Logged out successfully'</v>
      </c>
      <c r="H33" t="str">
        <v/>
      </c>
      <c r="I33" t="str">
        <v>Passed</v>
      </c>
      <c r="J33" t="str">
        <v/>
      </c>
    </row>
    <row r="34" xml:space="preserve">
      <c r="A34" t="str">
        <v>UC5: Logout</v>
      </c>
      <c r="B34" t="str">
        <v>LOGOUT-02</v>
      </c>
      <c r="C34" t="str">
        <v>Logout without active session</v>
      </c>
      <c r="D34" t="str">
        <v>User session already expired or logged out</v>
      </c>
      <c r="E34" t="str" xml:space="preserve">
        <v xml:space="preserve">Step 1: Try to access logout endpoint without valid token
Expected: Request sent without auth token
Step 2: System checks session validity
Expected: No valid session found</v>
      </c>
      <c r="F34" t="str">
        <v/>
      </c>
      <c r="G34" t="str">
        <v>401 Unauthorized – Error: 'No active session', user redirected to login page</v>
      </c>
      <c r="H34" t="str">
        <v/>
      </c>
      <c r="I34" t="str">
        <v>Failed</v>
      </c>
      <c r="J34" t="str">
        <v/>
      </c>
    </row>
    <row r="35" xml:space="preserve">
      <c r="A35" t="str">
        <v>UC5: Logout</v>
      </c>
      <c r="B35" t="str">
        <v>LOGOUT-03</v>
      </c>
      <c r="C35" t="str">
        <v>Access protected route after logout</v>
      </c>
      <c r="D35" t="str">
        <v>User just logged out</v>
      </c>
      <c r="E35" t="str" xml:space="preserve">
        <v xml:space="preserve">Step 1: Logout successfully
Expected: Session cleared
Step 2: Try to access dashboard URL directly
Expected: Request sent without valid token
Step 3: System checks authentication
Expected: No valid session found</v>
      </c>
      <c r="F35" t="str">
        <v/>
      </c>
      <c r="G35" t="str">
        <v>401 Unauthorized – User redirected to login page with message: 'Please login to continue'</v>
      </c>
      <c r="H35" t="str">
        <v/>
      </c>
      <c r="I35" t="str">
        <v>Failed</v>
      </c>
      <c r="J35" t="str">
        <v/>
      </c>
    </row>
    <row r="36" xml:space="preserve">
      <c r="A36" t="str">
        <v>UC6: Update Profile</v>
      </c>
      <c r="B36" t="str">
        <v>PROF-01</v>
      </c>
      <c r="C36" t="str">
        <v>Update profile with valid data</v>
      </c>
      <c r="D36" t="str">
        <v>User logged in, current name: 'John Doe'</v>
      </c>
      <c r="E36" t="str" xml:space="preserve">
        <v xml:space="preserve">Step 1: Navigate to Profile Settings page
Expected: Profile form displays with current user data pre-filled
Step 2: Change name to 'Jane Smith'
Expected: Name field accepts new value
Step 3: Upload new avatar image (valid format, &lt;5MB)
Expected: Image preview displays
Step 4: Click 'Save Changes' button
Expected: Update request sent to server
Step 5: System validates and saves changes
Expected: Database updated</v>
      </c>
      <c r="F36" t="str">
        <v/>
      </c>
      <c r="G36" t="str">
        <v>200 OK – Profile updated successfully, success message displayed, new data reflected across UI, avatar updated</v>
      </c>
      <c r="H36" t="str">
        <v/>
      </c>
      <c r="I36" t="str">
        <v>Passed</v>
      </c>
      <c r="J36" t="str">
        <v/>
      </c>
    </row>
    <row r="37" xml:space="preserve">
      <c r="A37" t="str">
        <v>UC6: Update Profile</v>
      </c>
      <c r="B37" t="str">
        <v>PROF-02</v>
      </c>
      <c r="C37" t="str">
        <v>Update profile with invalid data (empty name)</v>
      </c>
      <c r="D37" t="str">
        <v>User logged in</v>
      </c>
      <c r="E37" t="str" xml:space="preserve">
        <v xml:space="preserve">Step 1: Open Profile Settings
Expected: Form displays
Step 2: Clear name field (leave empty)
Expected: Name field becomes empty
Step 3: Click 'Save Changes'
Expected: Validation triggered</v>
      </c>
      <c r="F37" t="str">
        <v/>
      </c>
      <c r="G37" t="str">
        <v>400 Bad Request – Error: 'Name is required', changes not saved, error displayed below name field</v>
      </c>
      <c r="H37" t="str">
        <v/>
      </c>
      <c r="I37" t="str">
        <v>Failed</v>
      </c>
      <c r="J37" t="str">
        <v/>
      </c>
    </row>
    <row r="38" xml:space="preserve">
      <c r="A38" t="str">
        <v>UC6: Update Profile</v>
      </c>
      <c r="B38" t="str">
        <v>PROF-03</v>
      </c>
      <c r="C38" t="str">
        <v>Update profile with oversized avatar</v>
      </c>
      <c r="D38" t="str">
        <v>User logged in</v>
      </c>
      <c r="E38" t="str" xml:space="preserve">
        <v xml:space="preserve">Step 1: Navigate to Profile Settings
Expected: Form displays
Step 2: Try to upload image file &gt;5MB
Expected: File picker opens
Step 3: Select large image (e.g., 10MB)
Expected: Validation check runs</v>
      </c>
      <c r="F38" t="str">
        <v/>
      </c>
      <c r="G38" t="str">
        <v>400 Bad Request – Error: 'File size exceeds 5MB limit', upload rejected, previous avatar retained</v>
      </c>
      <c r="H38" t="str">
        <v/>
      </c>
      <c r="I38" t="str">
        <v>Failed</v>
      </c>
      <c r="J38" t="str">
        <v/>
      </c>
    </row>
    <row r="39" xml:space="preserve">
      <c r="A39" t="str">
        <v>UC6: Update Profile</v>
      </c>
      <c r="B39" t="str">
        <v>PROF-04</v>
      </c>
      <c r="C39" t="str">
        <v>Update profile without authentication</v>
      </c>
      <c r="D39" t="str">
        <v>User session expired</v>
      </c>
      <c r="E39" t="str" xml:space="preserve">
        <v xml:space="preserve">Step 1: Attempt to access Profile Settings with expired token
Expected: Request sent
Step 2: System checks authentication
Expected: Token invalid/expired</v>
      </c>
      <c r="F39" t="str">
        <v/>
      </c>
      <c r="G39" t="str">
        <v>401 Unauthorized – User redirected to login page, changes not saved</v>
      </c>
      <c r="H39" t="str">
        <v/>
      </c>
      <c r="I39" t="str">
        <v>Failed</v>
      </c>
      <c r="J39" t="str">
        <v/>
      </c>
    </row>
    <row r="40" xml:space="preserve">
      <c r="A40" t="str">
        <v>UC7: View Profile (GetMe)</v>
      </c>
      <c r="B40" t="str">
        <v>GETME-01</v>
      </c>
      <c r="C40" t="str">
        <v>Retrieve own profile successfully</v>
      </c>
      <c r="D40" t="str">
        <v>User logged in with valid token</v>
      </c>
      <c r="E40" t="str" xml:space="preserve">
        <v xml:space="preserve">Step 1: User navigates to dashboard/profile page
Expected: Page loads
Step 2: System sends GET request to /api/me endpoint
Expected: Request includes valid JWT token in header
Step 3: System validates token and fetches user data
Expected: User record retrieved from database</v>
      </c>
      <c r="F40" t="str">
        <v/>
      </c>
      <c r="G40" t="str">
        <v>200 OK – User profile data returned (name, email, avatar, role, created date), displayed correctly on UI</v>
      </c>
      <c r="H40" t="str">
        <v/>
      </c>
      <c r="I40" t="str">
        <v>Passed</v>
      </c>
      <c r="J40" t="str">
        <v/>
      </c>
    </row>
    <row r="41" xml:space="preserve">
      <c r="A41" t="str">
        <v>UC7: View Profile (GetMe)</v>
      </c>
      <c r="B41" t="str">
        <v>GETME-02</v>
      </c>
      <c r="C41" t="str">
        <v>Retrieve profile with expired token</v>
      </c>
      <c r="D41" t="str">
        <v>User token expired</v>
      </c>
      <c r="E41" t="str" xml:space="preserve">
        <v xml:space="preserve">Step 1: Send request to /api/me with expired token
Expected: Request sent
Step 2: System validates token
Expected: Token validation fails (expired)</v>
      </c>
      <c r="F41" t="str">
        <v/>
      </c>
      <c r="G41" t="str">
        <v>401 Unauthorized – Error: 'Token expired', user redirected to login</v>
      </c>
      <c r="H41" t="str">
        <v/>
      </c>
      <c r="I41" t="str">
        <v>Failed</v>
      </c>
      <c r="J41" t="str">
        <v/>
      </c>
    </row>
    <row r="42" xml:space="preserve">
      <c r="A42" t="str">
        <v>UC7: View Profile (GetMe)</v>
      </c>
      <c r="B42" t="str">
        <v>GETME-03</v>
      </c>
      <c r="C42" t="str">
        <v>Retrieve profile without token</v>
      </c>
      <c r="D42" t="str">
        <v>No authentication token provided</v>
      </c>
      <c r="E42" t="str" xml:space="preserve">
        <v xml:space="preserve">Step 1: Send GET request to /api/me without Authorization header
Expected: Request sent
Step 2: System checks for authentication
Expected: No token found</v>
      </c>
      <c r="F42" t="str">
        <v/>
      </c>
      <c r="G42" t="str">
        <v>401 Unauthorized – Error: 'Authentication required', access denied</v>
      </c>
      <c r="H42" t="str">
        <v/>
      </c>
      <c r="I42" t="str">
        <v>Failed</v>
      </c>
      <c r="J42" t="str">
        <v/>
      </c>
    </row>
    <row r="43" xml:space="preserve">
      <c r="A43" t="str">
        <v>UC8: Get User by ID or Email</v>
      </c>
      <c r="B43" t="str">
        <v>GETUSER-01</v>
      </c>
      <c r="C43" t="str">
        <v>Admin retrieves user by ID</v>
      </c>
      <c r="D43" t="str">
        <v>Admin logged in, user ID '123' exists</v>
      </c>
      <c r="E43" t="str" xml:space="preserve">
        <v xml:space="preserve">Step 1: Admin navigates to User Management page
Expected: User list displays
Step 2: Enter user ID '123' in search field
Expected: Search field accepts input
Step 3: Click 'Search' button
Expected: GET request sent to /api/users/123
Step 4: System verifies admin role and fetches user
Expected: User data retrieved</v>
      </c>
      <c r="F43" t="str">
        <v/>
      </c>
      <c r="G43" t="str">
        <v>200 OK – User details displayed (name, email, role, status, projects), admin can view/edit</v>
      </c>
      <c r="H43" t="str">
        <v/>
      </c>
      <c r="I43" t="str">
        <v>Passed</v>
      </c>
      <c r="J43" t="str">
        <v/>
      </c>
    </row>
    <row r="44" xml:space="preserve">
      <c r="A44" t="str">
        <v>UC8: Get User by ID or Email</v>
      </c>
      <c r="B44" t="str">
        <v>GETUSER-02</v>
      </c>
      <c r="C44" t="str">
        <v>Non-admin tries to get user by ID</v>
      </c>
      <c r="D44" t="str">
        <v>Regular user logged in (not admin)</v>
      </c>
      <c r="E44" t="str" xml:space="preserve">
        <v xml:space="preserve">Step 1: Regular user tries to access /api/users/123
Expected: Request sent with user token
Step 2: System checks user role
Expected: Role is 'User', not 'Admin'</v>
      </c>
      <c r="F44" t="str">
        <v/>
      </c>
      <c r="G44" t="str">
        <v>403 Forbidden – Error: 'Admin access required', request denied</v>
      </c>
      <c r="H44" t="str">
        <v/>
      </c>
      <c r="I44" t="str">
        <v>Failed</v>
      </c>
      <c r="J44" t="str">
        <v/>
      </c>
    </row>
    <row r="45" xml:space="preserve">
      <c r="A45" t="str">
        <v>UC8: Get User by ID or Email</v>
      </c>
      <c r="B45" t="str">
        <v>GETUSER-03</v>
      </c>
      <c r="C45" t="str">
        <v>Admin searches for non-existent user</v>
      </c>
      <c r="D45" t="str">
        <v>Admin logged in, user ID '999' does not exist</v>
      </c>
      <c r="E45" t="str" xml:space="preserve">
        <v xml:space="preserve">Step 1: Admin enters user ID '999' in search
Expected: Search initiated
Step 2: System queries database for user ID 999
Expected: No user found</v>
      </c>
      <c r="F45" t="str">
        <v/>
      </c>
      <c r="G45" t="str">
        <v>404 Not Found – Error: 'User not found', no data displayed</v>
      </c>
      <c r="H45" t="str">
        <v/>
      </c>
      <c r="I45" t="str">
        <v>Failed</v>
      </c>
      <c r="J45" t="str">
        <v/>
      </c>
    </row>
    <row r="46" xml:space="preserve">
      <c r="A46" t="str">
        <v>UC8: Get User by ID or Email</v>
      </c>
      <c r="B46" t="str">
        <v>GETUSER-04</v>
      </c>
      <c r="C46" t="str">
        <v>Admin retrieves user by email</v>
      </c>
      <c r="D46" t="str">
        <v>Admin logged in, user with email 'test@example.com' exists</v>
      </c>
      <c r="E46" t="str" xml:space="preserve">
        <v xml:space="preserve">Step 1: Admin navigates to User Management
Expected: Page loads
Step 2: Enter email 'test@example.com' in search field
Expected: Email accepted
Step 3: Click 'Search'
Expected: Request sent to /api/users?email=test@example.com</v>
      </c>
      <c r="F46" t="str">
        <v/>
      </c>
      <c r="G46" t="str">
        <v>200 OK – User details returned and displayed</v>
      </c>
      <c r="H46" t="str">
        <v/>
      </c>
      <c r="I46" t="str">
        <v>Passed</v>
      </c>
      <c r="J46" t="str">
        <v/>
      </c>
    </row>
    <row r="47" xml:space="preserve">
      <c r="A47" t="str">
        <v>UC9: Create Project</v>
      </c>
      <c r="B47" t="str">
        <v>PROJ-01</v>
      </c>
      <c r="C47" t="str">
        <v>Create project with valid data</v>
      </c>
      <c r="D47" t="str">
        <v>User authenticated, project name 'Test Project' not exists</v>
      </c>
      <c r="E47" t="str" xml:space="preserve">
        <v xml:space="preserve">Step 1: Click 'Create Project' button on dashboard
Expected: Project creation modal/form displays
Step 2: Enter project name 'Test Project'
Expected: Name field accepts input
Step 3: Enter project key 'TEST' (unique)
Expected: Key field accepts input, validates uniqueness
Step 4: Enter description (optional)
Expected: Description field accepts input
Step 5: Click 'Create' button
Expected: Project creation request sent</v>
      </c>
      <c r="F47" t="str">
        <v/>
      </c>
      <c r="G47" t="str">
        <v>201 Created – Project created with user as Owner, default columns (To Do, In Progress, Done) created, initial backlog sprint created, user redirected to project board</v>
      </c>
      <c r="H47" t="str">
        <v/>
      </c>
      <c r="I47" t="str">
        <v>Passed</v>
      </c>
      <c r="J47" t="str">
        <v/>
      </c>
    </row>
    <row r="48" xml:space="preserve">
      <c r="A48" t="str">
        <v>UC9: Create Project</v>
      </c>
      <c r="B48" t="str">
        <v>PROJ-02</v>
      </c>
      <c r="C48" t="str">
        <v>Create project with duplicate name</v>
      </c>
      <c r="D48" t="str">
        <v>User already owns project named 'Existing Project'</v>
      </c>
      <c r="E48" t="str" xml:space="preserve">
        <v xml:space="preserve">Step 1: Open Create Project form
Expected: Form displays
Step 2: Enter name 'Existing Project' (duplicate)
Expected: Name accepted temporarily
Step 3: Enter unique key 'EXIST'
Expected: Key accepted
Step 4: Click 'Create'
Expected: Validation check runs</v>
      </c>
      <c r="F48" t="str">
        <v/>
      </c>
      <c r="G48" t="str">
        <v>400 Bad Request – Error: 'Project name must be unique per owner', project not created</v>
      </c>
      <c r="H48" t="str">
        <v/>
      </c>
      <c r="I48" t="str">
        <v>Failed</v>
      </c>
      <c r="J48" t="str">
        <v/>
      </c>
    </row>
    <row r="49" xml:space="preserve">
      <c r="A49" t="str">
        <v>UC9: Create Project</v>
      </c>
      <c r="B49" t="str">
        <v>PROJ-03</v>
      </c>
      <c r="C49" t="str">
        <v>Create project without authentication</v>
      </c>
      <c r="D49" t="str">
        <v>User not logged in or token expired</v>
      </c>
      <c r="E49" t="str" xml:space="preserve">
        <v xml:space="preserve">Step 1: Try to access Create Project page
Expected: Request sent without valid token
Step 2: System checks authentication
Expected: No valid session</v>
      </c>
      <c r="F49" t="str">
        <v/>
      </c>
      <c r="G49" t="str">
        <v>401 Unauthorized – User redirected to login page, project not created</v>
      </c>
      <c r="H49" t="str">
        <v/>
      </c>
      <c r="I49" t="str">
        <v>Failed</v>
      </c>
      <c r="J49" t="str">
        <v/>
      </c>
    </row>
    <row r="50" xml:space="preserve">
      <c r="A50" t="str">
        <v>UC9: Create Project</v>
      </c>
      <c r="B50" t="str">
        <v>PROJ-04</v>
      </c>
      <c r="C50" t="str">
        <v>Create project with empty required fields</v>
      </c>
      <c r="D50" t="str">
        <v>User authenticated</v>
      </c>
      <c r="E50" t="str" xml:space="preserve">
        <v xml:space="preserve">Step 1: Open Create Project form
Expected: Form displays
Step 2: Leave project name empty
Expected: Name field empty
Step 3: Click 'Create'
Expected: Validation triggered</v>
      </c>
      <c r="F50" t="str">
        <v/>
      </c>
      <c r="G50" t="str">
        <v>400 Validation Error – Error: 'Project name is required', form not submitted</v>
      </c>
      <c r="H50" t="str">
        <v/>
      </c>
      <c r="I50" t="str">
        <v>Failed</v>
      </c>
      <c r="J50" t="str">
        <v/>
      </c>
    </row>
    <row r="51" xml:space="preserve">
      <c r="A51" t="str">
        <v>UC10: View Project List</v>
      </c>
      <c r="B51" t="str">
        <v>PROJLIST-01</v>
      </c>
      <c r="C51" t="str">
        <v>View all projects user is member of</v>
      </c>
      <c r="D51" t="str">
        <v>User is member of 3 projects</v>
      </c>
      <c r="E51" t="str" xml:space="preserve">
        <v xml:space="preserve">Step 1: User logs in successfully
Expected: Redirected to dashboard
Step 2: Navigate to Projects page
Expected: Page loads
Step 3: System fetches projects where user is member
Expected: Database query executes</v>
      </c>
      <c r="F51" t="str">
        <v/>
      </c>
      <c r="G51" t="str">
        <v>200 OK – List of 3 projects displayed with project name, key, owner, member count, last updated date, sorted by last accessed</v>
      </c>
      <c r="H51" t="str">
        <v/>
      </c>
      <c r="I51" t="str">
        <v>Passed</v>
      </c>
      <c r="J51" t="str">
        <v/>
      </c>
    </row>
    <row r="52" xml:space="preserve">
      <c r="A52" t="str">
        <v>UC10: View Project List</v>
      </c>
      <c r="B52" t="str">
        <v>PROJLIST-02</v>
      </c>
      <c r="C52" t="str">
        <v>View project list with pagination</v>
      </c>
      <c r="D52" t="str">
        <v>User is member of 25 projects</v>
      </c>
      <c r="E52" t="str" xml:space="preserve">
        <v xml:space="preserve">Step 1: Navigate to Projects page
Expected: Page loads
Step 2: System applies pagination (20 per page)
Expected: First 20 projects displayed
Step 3: Click 'Next' or page 2
Expected: Page 2 loads</v>
      </c>
      <c r="F52" t="str">
        <v/>
      </c>
      <c r="G52" t="str">
        <v>200 OK – Page 1 shows 20 projects, Page 2 shows remaining 5 projects, pagination controls functional</v>
      </c>
      <c r="H52" t="str">
        <v/>
      </c>
      <c r="I52" t="str">
        <v>Passed</v>
      </c>
      <c r="J52" t="str">
        <v/>
      </c>
    </row>
    <row r="53" xml:space="preserve">
      <c r="A53" t="str">
        <v>UC10: View Project List</v>
      </c>
      <c r="B53" t="str">
        <v>PROJLIST-03</v>
      </c>
      <c r="C53" t="str">
        <v>View empty project list</v>
      </c>
      <c r="D53" t="str">
        <v>User not member of any project</v>
      </c>
      <c r="E53" t="str" xml:space="preserve">
        <v xml:space="preserve">Step 1: Navigate to Projects page
Expected: Page loads
Step 2: System queries user's projects
Expected: No projects found</v>
      </c>
      <c r="F53" t="str">
        <v/>
      </c>
      <c r="G53" t="str">
        <v>200 OK – Empty state displayed with message: 'No projects yet' and 'Create Project' button</v>
      </c>
      <c r="H53" t="str">
        <v/>
      </c>
      <c r="I53" t="str">
        <v>Passed</v>
      </c>
      <c r="J53" t="str">
        <v/>
      </c>
    </row>
    <row r="54" xml:space="preserve">
      <c r="A54" t="str">
        <v>UC10: View Project List</v>
      </c>
      <c r="B54" t="str">
        <v>PROJLIST-04</v>
      </c>
      <c r="C54" t="str">
        <v>Filter starred projects</v>
      </c>
      <c r="D54" t="str">
        <v>User has 5 projects, 2 are starred</v>
      </c>
      <c r="E54" t="str" xml:space="preserve">
        <v xml:space="preserve">Step 1: Navigate to Projects page
Expected: All 5 projects displayed
Step 2: Click 'Starred' filter option
Expected: Filter applied
Step 3: System filters for starred projects only
Expected: Query filtered</v>
      </c>
      <c r="F54" t="str">
        <v/>
      </c>
      <c r="G54" t="str">
        <v>200 OK – Only 2 starred projects displayed at top of list with star icon highlighted</v>
      </c>
      <c r="H54" t="str">
        <v/>
      </c>
      <c r="I54" t="str">
        <v>Passed</v>
      </c>
      <c r="J54" t="str">
        <v/>
      </c>
    </row>
    <row r="55" xml:space="preserve">
      <c r="A55" t="str">
        <v>UC11: Update Project Info</v>
      </c>
      <c r="B55" t="str">
        <v>PROJUPD-01</v>
      </c>
      <c r="C55" t="str">
        <v>Update project name as Owner</v>
      </c>
      <c r="D55" t="str">
        <v>User is Project Owner, project 'Old Name' exists</v>
      </c>
      <c r="E55" t="str" xml:space="preserve">
        <v xml:space="preserve">Step 1: Navigate to project settings
Expected: Settings page displays
Step 2: Change project name to 'New Name'
Expected: Name field updated
Step 3: Click 'Save Changes'
Expected: Update request sent
Step 4: System validates ownership and updates
Expected: Database updated</v>
      </c>
      <c r="F55" t="str">
        <v/>
      </c>
      <c r="G55" t="str">
        <v>200 OK – Project name updated to 'New Name', activity log entry created, all members notified, cache invalidated</v>
      </c>
      <c r="H55" t="str">
        <v/>
      </c>
      <c r="I55" t="str">
        <v>Passed</v>
      </c>
      <c r="J55" t="str">
        <v/>
      </c>
    </row>
    <row r="56" xml:space="preserve">
      <c r="A56" t="str">
        <v>UC11: Update Project Info</v>
      </c>
      <c r="B56" t="str">
        <v>PROJUPD-02</v>
      </c>
      <c r="C56" t="str">
        <v>Member tries to update project settings</v>
      </c>
      <c r="D56" t="str">
        <v>User is regular Member (not Admin/Owner)</v>
      </c>
      <c r="E56" t="str" xml:space="preserve">
        <v xml:space="preserve">Step 1: Try to access project settings
Expected: Request sent
Step 2: System checks user role
Expected: Role is 'Member', not authorized</v>
      </c>
      <c r="F56" t="str">
        <v/>
      </c>
      <c r="G56" t="str">
        <v>403 Forbidden – Error: 'Only Admin or Owner can modify project settings', changes rejected</v>
      </c>
      <c r="H56" t="str">
        <v/>
      </c>
      <c r="I56" t="str">
        <v>Failed</v>
      </c>
      <c r="J56" t="str">
        <v/>
      </c>
    </row>
    <row r="57" xml:space="preserve">
      <c r="A57" t="str">
        <v>UC11: Update Project Info</v>
      </c>
      <c r="B57" t="str">
        <v>PROJUPD-03</v>
      </c>
      <c r="C57" t="str">
        <v>Try to change project key</v>
      </c>
      <c r="D57" t="str">
        <v>User is Owner, project key is 'TEST'</v>
      </c>
      <c r="E57" t="str" xml:space="preserve">
        <v xml:space="preserve">Step 1: Navigate to project settings
Expected: Settings page displays
Step 2: Try to edit project key field
Expected: Field is disabled/read-only
Step 3: Attempt to modify key via API call
Expected: Request sent with new key</v>
      </c>
      <c r="F57" t="str">
        <v/>
      </c>
      <c r="G57" t="str">
        <v>400 Bad Request – Error: 'Project key cannot be changed after creation', key remains unchanged</v>
      </c>
      <c r="H57" t="str">
        <v/>
      </c>
      <c r="I57" t="str">
        <v>Failed</v>
      </c>
      <c r="J57" t="str">
        <v/>
      </c>
    </row>
    <row r="58" xml:space="preserve">
      <c r="A58" t="str">
        <v>UC11: Update Project Info</v>
      </c>
      <c r="B58" t="str">
        <v>PROJUPD-04</v>
      </c>
      <c r="C58" t="str">
        <v>Update project description successfully</v>
      </c>
      <c r="D58" t="str">
        <v>User is Admin of project</v>
      </c>
      <c r="E58" t="str" xml:space="preserve">
        <v xml:space="preserve">Step 1: Open project settings
Expected: Settings form displays
Step 2: Update description field with new text
Expected: Description field accepts input
Step 3: Click 'Save'
Expected: Update request sent
Step 4: System validates role and saves
Expected: Changes saved to database</v>
      </c>
      <c r="F58" t="str">
        <v/>
      </c>
      <c r="G58" t="str">
        <v>200 OK – Description updated, activity log created, members notified of project changes</v>
      </c>
      <c r="H58" t="str">
        <v/>
      </c>
      <c r="I58" t="str">
        <v>Passed</v>
      </c>
      <c r="J58" t="str">
        <v/>
      </c>
    </row>
    <row r="59" xml:space="preserve">
      <c r="A59" t="str">
        <v>UC11: Update Project Info</v>
      </c>
      <c r="B59" t="str">
        <v>PROJUPD-05</v>
      </c>
      <c r="C59" t="str">
        <v>Update archived project</v>
      </c>
      <c r="D59" t="str">
        <v>Project is archived</v>
      </c>
      <c r="E59" t="str" xml:space="preserve">
        <v xml:space="preserve">Step 1: Try to access settings of archived project
Expected: Request sent
Step 2: System checks project status
Expected: Status is 'Archived'
Step 3: Attempt to modify settings
Expected: Validation runs</v>
      </c>
      <c r="F59" t="str">
        <v/>
      </c>
      <c r="G59" t="str">
        <v>403 Forbidden – Error: 'Cannot modify archived project', changes rejected</v>
      </c>
      <c r="H59" t="str">
        <v/>
      </c>
      <c r="I59" t="str">
        <v>Failed</v>
      </c>
      <c r="J59" t="str">
        <v/>
      </c>
    </row>
    <row r="60" xml:space="preserve">
      <c r="A60" t="str">
        <v>UC12: Delete Project</v>
      </c>
      <c r="B60" t="str">
        <v>PROJDEL-01</v>
      </c>
      <c r="C60" t="str">
        <v>Delete project as Owner</v>
      </c>
      <c r="D60" t="str">
        <v>User is Project Owner, project 'Test Project' exists</v>
      </c>
      <c r="E60" t="str" xml:space="preserve">
        <v xml:space="preserve">Step 1: Navigate to project settings
Expected: Settings page displays
Step 2: Click 'Delete Project' button
Expected: Confirmation dialog appears
Step 3: Type project name 'Test Project' to confirm
Expected: Confirmation text matches
Step 4: Click 'Confirm Delete'
Expected: Delete request sent
Step 5: System soft-deletes project
Expected: Project marked as deleted</v>
      </c>
      <c r="F60" t="str">
        <v/>
      </c>
      <c r="G60" t="str">
        <v>200 OK – Project soft-deleted, all members lose access, removed from member lists, scheduled for hard delete in 30 days, user redirected to projects list</v>
      </c>
      <c r="H60" t="str">
        <v/>
      </c>
      <c r="I60" t="str">
        <v>Passed</v>
      </c>
      <c r="J60" t="str">
        <v/>
      </c>
    </row>
    <row r="61" xml:space="preserve">
      <c r="A61" t="str">
        <v>UC12: Delete Project</v>
      </c>
      <c r="B61" t="str">
        <v>PROJDEL-02</v>
      </c>
      <c r="C61" t="str">
        <v>Non-owner tries to delete project</v>
      </c>
      <c r="D61" t="str">
        <v>User is Admin (not Owner)</v>
      </c>
      <c r="E61" t="str" xml:space="preserve">
        <v xml:space="preserve">Step 1: Navigate to project settings
Expected: Settings visible
Step 2: Look for Delete Project option
Expected: Delete button not visible or disabled
Step 3: Try to call delete API directly
Expected: Request sent
Step 4: System checks ownership
Expected: User is not Owner</v>
      </c>
      <c r="F61" t="str">
        <v/>
      </c>
      <c r="G61" t="str">
        <v>403 Forbidden – Error: 'Only Project Owner can delete project', project not deleted</v>
      </c>
      <c r="H61" t="str">
        <v/>
      </c>
      <c r="I61" t="str">
        <v>Failed</v>
      </c>
      <c r="J61" t="str">
        <v/>
      </c>
    </row>
    <row r="62" xml:space="preserve">
      <c r="A62" t="str">
        <v>UC12: Delete Project</v>
      </c>
      <c r="B62" t="str">
        <v>PROJDEL-03</v>
      </c>
      <c r="C62" t="str">
        <v>Delete project without confirmation</v>
      </c>
      <c r="D62" t="str">
        <v>User is Owner</v>
      </c>
      <c r="E62" t="str" xml:space="preserve">
        <v xml:space="preserve">Step 1: Click 'Delete Project'
Expected: Confirmation dialog shows
Step 2: Type incorrect project name 'Wrong Name'
Expected: Name doesn't match
Step 3: Click 'Confirm Delete'
Expected: Validation runs</v>
      </c>
      <c r="F62" t="str">
        <v/>
      </c>
      <c r="G62" t="str">
        <v>400 Bad Request – Error: 'Project name does not match', deletion cancelled</v>
      </c>
      <c r="H62" t="str">
        <v/>
      </c>
      <c r="I62" t="str">
        <v>Failed</v>
      </c>
      <c r="J62" t="str">
        <v/>
      </c>
    </row>
    <row r="63" xml:space="preserve">
      <c r="A63" t="str">
        <v>UC12: Delete Project</v>
      </c>
      <c r="B63" t="str">
        <v>PROJDEL-04</v>
      </c>
      <c r="C63" t="str">
        <v>View deleted project after 30 days</v>
      </c>
      <c r="D63" t="str">
        <v>Project soft-deleted 31 days ago</v>
      </c>
      <c r="E63" t="str" xml:space="preserve">
        <v xml:space="preserve">Step 1: System scheduled cleanup runs
Expected: Cleanup job executes
Step 2: Try to access deleted project URL
Expected: Request sent
Step 3: System checks project status
Expected: Project hard-deleted (not found)</v>
      </c>
      <c r="F63" t="str">
        <v/>
      </c>
      <c r="G63" t="str">
        <v>404 Not Found – Error: 'Project not found', all associated data permanently deleted</v>
      </c>
      <c r="H63" t="str">
        <v/>
      </c>
      <c r="I63" t="str">
        <v>Failed</v>
      </c>
      <c r="J63" t="str">
        <v/>
      </c>
    </row>
    <row r="64">
      <c r="G64" t="str">
        <v>Confirm</v>
      </c>
      <c r="H64" t="str">
        <v>Issue removed</v>
      </c>
    </row>
    <row r="65" xml:space="preserve">
      <c r="C65" t="str">
        <v>ISSUE-13</v>
      </c>
      <c r="D65" t="str">
        <v>User not in project tries to delete</v>
      </c>
      <c r="E65" t="str" xml:space="preserve">
        <v xml:space="preserve">User is not project meber
</v>
      </c>
      <c r="G65" t="str" xml:space="preserve">
        <v xml:space="preserve">Attempt delete via UI/API
</v>
      </c>
      <c r="H65" t="str">
        <v>Access denied</v>
      </c>
      <c r="I65" t="str">
        <v>“You don’t have permission to delete this issue”</v>
      </c>
    </row>
    <row r="66">
      <c r="C66" t="str">
        <v>ISSUE-14</v>
      </c>
      <c r="D66" t="str">
        <v>Delete non-existing issue</v>
      </c>
      <c r="E66" t="str">
        <v>User is project member</v>
      </c>
      <c r="G66" t="str">
        <v>Call delete with invalid ID</v>
      </c>
      <c r="H66" t="str">
        <v>System returns error</v>
      </c>
      <c r="I66" t="str">
        <v>“Issue not found”</v>
      </c>
    </row>
    <row r="73">
      <c r="B73" t="str">
        <v>Search image</v>
      </c>
    </row>
  </sheetData>
  <mergeCells count="92">
    <mergeCell ref="D51:D53"/>
    <mergeCell ref="D54:D56"/>
    <mergeCell ref="E54:E56"/>
    <mergeCell ref="E62:E64"/>
    <mergeCell ref="D40:D43"/>
    <mergeCell ref="E40:E43"/>
    <mergeCell ref="D44:D47"/>
    <mergeCell ref="E44:E47"/>
    <mergeCell ref="D48:D50"/>
    <mergeCell ref="E48:E50"/>
    <mergeCell ref="E51:E53"/>
    <mergeCell ref="D59:D60"/>
    <mergeCell ref="C62:C64"/>
    <mergeCell ref="D62:D64"/>
    <mergeCell ref="C36:C39"/>
    <mergeCell ref="C40:C43"/>
    <mergeCell ref="B44:B66"/>
    <mergeCell ref="C44:C47"/>
    <mergeCell ref="C48:C50"/>
    <mergeCell ref="C51:C53"/>
    <mergeCell ref="D57:D58"/>
    <mergeCell ref="B73:B75"/>
    <mergeCell ref="B32:B35"/>
    <mergeCell ref="C32:C35"/>
    <mergeCell ref="D32:D35"/>
    <mergeCell ref="E32:E35"/>
    <mergeCell ref="B36:B43"/>
    <mergeCell ref="D36:D39"/>
    <mergeCell ref="E36:E39"/>
    <mergeCell ref="I48:I50"/>
    <mergeCell ref="I51:I53"/>
    <mergeCell ref="I54:I56"/>
    <mergeCell ref="I57:I58"/>
    <mergeCell ref="I62:I64"/>
    <mergeCell ref="K73:K75"/>
    <mergeCell ref="I24:I27"/>
    <mergeCell ref="I28:I31"/>
    <mergeCell ref="I32:I35"/>
    <mergeCell ref="I36:I39"/>
    <mergeCell ref="I40:I43"/>
    <mergeCell ref="I44:I47"/>
    <mergeCell ref="C57:C58"/>
    <mergeCell ref="C59:C60"/>
    <mergeCell ref="E59:E60"/>
    <mergeCell ref="B24:B31"/>
    <mergeCell ref="D16:D19"/>
    <mergeCell ref="D13:D15"/>
    <mergeCell ref="G7:H7"/>
    <mergeCell ref="B9:B23"/>
    <mergeCell ref="E9:E12"/>
    <mergeCell ref="D9:D12"/>
    <mergeCell ref="E20:E23"/>
    <mergeCell ref="D20:D23"/>
    <mergeCell ref="C16:C19"/>
    <mergeCell ref="C13:C15"/>
    <mergeCell ref="E24:E27"/>
    <mergeCell ref="E28:E31"/>
    <mergeCell ref="I7:I8"/>
    <mergeCell ref="I16:I19"/>
    <mergeCell ref="I20:I23"/>
    <mergeCell ref="C28:C31"/>
    <mergeCell ref="D24:D27"/>
    <mergeCell ref="C9:C12"/>
    <mergeCell ref="D28:D31"/>
    <mergeCell ref="A1:K1"/>
    <mergeCell ref="A7:A8"/>
    <mergeCell ref="B7:B8"/>
    <mergeCell ref="C7:C8"/>
    <mergeCell ref="D7:D8"/>
    <mergeCell ref="E7:E8"/>
    <mergeCell ref="F7:F8"/>
    <mergeCell ref="I9:I12"/>
    <mergeCell ref="I13:I15"/>
    <mergeCell ref="K24:K27"/>
    <mergeCell ref="K28:K31"/>
    <mergeCell ref="K32:K35"/>
    <mergeCell ref="K36:K39"/>
    <mergeCell ref="K40:K43"/>
    <mergeCell ref="K44:K47"/>
    <mergeCell ref="J7:J8"/>
    <mergeCell ref="K7:K8"/>
    <mergeCell ref="L7:L8"/>
    <mergeCell ref="K9:K12"/>
    <mergeCell ref="K13:K15"/>
    <mergeCell ref="K16:K18"/>
    <mergeCell ref="K20:K22"/>
    <mergeCell ref="C24:C27"/>
    <mergeCell ref="C20:C23"/>
    <mergeCell ref="H21:H23"/>
    <mergeCell ref="H17:H19"/>
    <mergeCell ref="E16:E19"/>
    <mergeCell ref="E13:E15"/>
  </mergeCells>
  <pageMargins left="0.7" right="0.7" top="0.75" bottom="0.75" header="0" footer="0"/>
  <ignoredErrors>
    <ignoredError numberStoredAsText="1" sqref="A1:L1030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Security Test Cases</v>
      </c>
    </row>
    <row r="2">
      <c r="G2" t="str">
        <v>Passed</v>
      </c>
      <c r="H2">
        <f>COUNTIF($H$9:$H$2001, "Passed")</f>
        <v>1</v>
      </c>
    </row>
    <row r="3">
      <c r="G3" t="str">
        <v>Failed</v>
      </c>
      <c r="H3">
        <f>COUNTIF($H$9:$H$2001, "Failed")</f>
        <v>0</v>
      </c>
    </row>
    <row r="4">
      <c r="G4" t="str">
        <v>Not Run</v>
      </c>
      <c r="H4">
        <f>COUNTIF($H$9:$H$2001, "Not Run")</f>
        <v>0</v>
      </c>
    </row>
    <row r="5">
      <c r="G5" t="str">
        <v>Not Completed</v>
      </c>
      <c r="H5">
        <f>COUNTIF($H$9:$H$2001, "Not Completed")</f>
        <v>0</v>
      </c>
    </row>
    <row r="6">
      <c r="G6" t="str">
        <v>Number of test cases</v>
      </c>
      <c r="H6">
        <f>COUNTA(C9:C2000)</f>
        <v>12</v>
      </c>
    </row>
    <row r="7">
      <c r="B7" t="str">
        <v>Category</v>
      </c>
      <c r="C7" t="str">
        <v>Test Case ID</v>
      </c>
      <c r="D7" t="str">
        <v>Test Case Description</v>
      </c>
      <c r="E7" t="str">
        <v>PreRequisites</v>
      </c>
      <c r="F7" t="str">
        <v>Steps</v>
      </c>
      <c r="G7" t="str">
        <v>Test Procedures</v>
      </c>
      <c r="I7" t="str">
        <v>Test Case Expected Result</v>
      </c>
      <c r="J7" t="str">
        <v>Actual Result</v>
      </c>
      <c r="K7" t="str">
        <v>Status</v>
      </c>
      <c r="L7" t="str">
        <v>Note</v>
      </c>
    </row>
    <row r="8">
      <c r="G8" t="str">
        <v>Steps to Perform</v>
      </c>
      <c r="H8" t="str">
        <v>Step Expected Result</v>
      </c>
    </row>
    <row r="9">
      <c r="B9" t="str">
        <v>…</v>
      </c>
      <c r="C9" t="str">
        <v>SEC 001</v>
      </c>
      <c r="E9" t="str">
        <v>Step description 1</v>
      </c>
      <c r="F9" t="str">
        <v>Expected result 1</v>
      </c>
      <c r="H9" t="str">
        <v>Passed</v>
      </c>
    </row>
    <row r="10">
      <c r="E10" t="str">
        <v>Step description 2</v>
      </c>
      <c r="F10" t="str">
        <v>Expected result 2</v>
      </c>
    </row>
    <row r="11">
      <c r="E11" t="str">
        <v>Step description n…</v>
      </c>
      <c r="F11" t="str">
        <v>Expected result n…</v>
      </c>
    </row>
    <row r="12">
      <c r="C12" t="str">
        <v>SEC 002</v>
      </c>
      <c r="D12" t="str">
        <v>Test 2</v>
      </c>
    </row>
    <row r="13">
      <c r="C13" t="str">
        <v>SEC 003</v>
      </c>
      <c r="D13" t="str">
        <v>Test 3</v>
      </c>
    </row>
    <row r="14">
      <c r="B14" t="str">
        <v>…</v>
      </c>
      <c r="C14" t="str">
        <v>SEC 004</v>
      </c>
      <c r="D14" t="str">
        <v>Test 4</v>
      </c>
    </row>
    <row r="15">
      <c r="C15" t="str">
        <v>SEC 005</v>
      </c>
      <c r="D15" t="str">
        <v>Test 5</v>
      </c>
    </row>
    <row r="16">
      <c r="C16" t="str">
        <v>SEC 006</v>
      </c>
      <c r="D16" t="str">
        <v>Test 6</v>
      </c>
    </row>
    <row r="17">
      <c r="C17" t="str">
        <v>SEC 007</v>
      </c>
      <c r="D17" t="str">
        <v>Test 7</v>
      </c>
    </row>
    <row r="18">
      <c r="C18" t="str">
        <v>SEC 008</v>
      </c>
      <c r="D18" t="str">
        <v>Test 8</v>
      </c>
    </row>
    <row r="19">
      <c r="B19" t="str">
        <v>…</v>
      </c>
      <c r="C19" t="str">
        <v>SEC 009</v>
      </c>
      <c r="D19" t="str">
        <v>Test 9</v>
      </c>
    </row>
    <row r="20">
      <c r="C20" t="str">
        <v>SEC 010</v>
      </c>
      <c r="D20" t="str">
        <v>Test 10</v>
      </c>
    </row>
    <row r="21">
      <c r="C21" t="str">
        <v>SEC 011</v>
      </c>
      <c r="D21" t="str">
        <v>Test 11</v>
      </c>
    </row>
    <row r="22">
      <c r="C22" t="str">
        <v>SEC 012</v>
      </c>
      <c r="D22" t="str">
        <v>Test 12</v>
      </c>
    </row>
  </sheetData>
  <mergeCells count="18">
    <mergeCell ref="I7:I8"/>
    <mergeCell ref="J7:J8"/>
    <mergeCell ref="K7:K8"/>
    <mergeCell ref="L7:L8"/>
    <mergeCell ref="C7:C8"/>
    <mergeCell ref="C9:C11"/>
    <mergeCell ref="B14:B18"/>
    <mergeCell ref="B19:B22"/>
    <mergeCell ref="G7:H7"/>
    <mergeCell ref="G9:G11"/>
    <mergeCell ref="H9:H11"/>
    <mergeCell ref="A1:H1"/>
    <mergeCell ref="B7:B8"/>
    <mergeCell ref="D7:D8"/>
    <mergeCell ref="E7:E8"/>
    <mergeCell ref="F7:F8"/>
    <mergeCell ref="B9:B13"/>
    <mergeCell ref="D9:D11"/>
  </mergeCells>
  <pageMargins left="0.7" right="0.7" top="0.75" bottom="0.75" header="0" footer="0"/>
  <ignoredErrors>
    <ignoredError numberStoredAsText="1" sqref="A1:L1000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Test Cases XYZ…</v>
      </c>
    </row>
    <row r="2">
      <c r="B2" t="str">
        <v>Each sheet should be used for a type of test such as Function Testing, User Interface Testing, Security Testing etc</v>
      </c>
      <c r="G2" t="str">
        <v>Passed</v>
      </c>
      <c r="H2">
        <f>COUNTIF($H$9:$H$2001, "Passed")</f>
        <v>1</v>
      </c>
    </row>
    <row r="3">
      <c r="G3" t="str">
        <v>Failed</v>
      </c>
      <c r="H3">
        <f>COUNTIF($H$9:$H$2001, "Failed")</f>
        <v>0</v>
      </c>
    </row>
    <row r="4">
      <c r="G4" t="str">
        <v>Not Run</v>
      </c>
      <c r="H4">
        <f>COUNTIF($H$9:$H$2001, "Not Run")</f>
        <v>0</v>
      </c>
    </row>
    <row r="5">
      <c r="G5" t="str">
        <v>Not Completed</v>
      </c>
      <c r="H5">
        <f>COUNTIF($H$9:$H$2001, "Not Completed")</f>
        <v>0</v>
      </c>
    </row>
    <row r="6">
      <c r="G6" t="str">
        <v>Number of test cases</v>
      </c>
      <c r="H6">
        <f>COUNTA(C9:C2000)</f>
        <v>12</v>
      </c>
    </row>
    <row r="7">
      <c r="B7" t="str">
        <v>Category</v>
      </c>
      <c r="C7" t="str">
        <v>Test Case ID</v>
      </c>
      <c r="D7" t="str">
        <v>Test Case Description</v>
      </c>
      <c r="E7" t="str">
        <v>PreRequisites</v>
      </c>
      <c r="F7" t="str">
        <v>Steps</v>
      </c>
      <c r="G7" t="str">
        <v>Test Procedures</v>
      </c>
      <c r="I7" t="str">
        <v>Test Case Expected Result</v>
      </c>
      <c r="J7" t="str">
        <v>Actual Result</v>
      </c>
      <c r="K7" t="str">
        <v>Status</v>
      </c>
      <c r="L7" t="str">
        <v>Note</v>
      </c>
    </row>
    <row r="8">
      <c r="G8" t="str">
        <v>Steps to Perform</v>
      </c>
      <c r="H8" t="str">
        <v>Step Expected Result</v>
      </c>
    </row>
    <row r="9">
      <c r="B9" t="str">
        <v>…</v>
      </c>
      <c r="C9" t="str">
        <v>XYZ 001</v>
      </c>
      <c r="E9" t="str">
        <v>Step description 1</v>
      </c>
      <c r="F9" t="str">
        <v>Expected result 1</v>
      </c>
      <c r="H9" t="str">
        <v>Passed</v>
      </c>
    </row>
    <row r="10">
      <c r="E10" t="str">
        <v>Step description 2</v>
      </c>
      <c r="F10" t="str">
        <v>Expected result 2</v>
      </c>
    </row>
    <row r="11">
      <c r="E11" t="str">
        <v>Step description n…</v>
      </c>
      <c r="F11" t="str">
        <v>Expected result n…</v>
      </c>
    </row>
    <row r="12">
      <c r="C12" t="str">
        <v>XYZ 002</v>
      </c>
      <c r="D12" t="str">
        <v>Test 2</v>
      </c>
    </row>
    <row r="13">
      <c r="C13" t="str">
        <v>XYZ 003</v>
      </c>
      <c r="D13" t="str">
        <v>Test 3</v>
      </c>
    </row>
    <row r="14">
      <c r="B14" t="str">
        <v>…</v>
      </c>
      <c r="C14" t="str">
        <v>XYZ 004</v>
      </c>
      <c r="D14" t="str">
        <v>Test 4</v>
      </c>
    </row>
    <row r="15">
      <c r="C15" t="str">
        <v>XYZ 005</v>
      </c>
      <c r="D15" t="str">
        <v>Test 5</v>
      </c>
    </row>
    <row r="16">
      <c r="C16" t="str">
        <v>XYZ 006</v>
      </c>
      <c r="D16" t="str">
        <v>Test 6</v>
      </c>
    </row>
    <row r="17">
      <c r="C17" t="str">
        <v>XYZ 007</v>
      </c>
      <c r="D17" t="str">
        <v>Test 7</v>
      </c>
    </row>
    <row r="18">
      <c r="C18" t="str">
        <v>XYZ 008</v>
      </c>
      <c r="D18" t="str">
        <v>Test 8</v>
      </c>
    </row>
    <row r="19">
      <c r="B19" t="str">
        <v>…</v>
      </c>
      <c r="C19" t="str">
        <v>XYZ 009</v>
      </c>
      <c r="D19" t="str">
        <v>Test 9</v>
      </c>
    </row>
    <row r="20">
      <c r="C20" t="str">
        <v>XYZ 010</v>
      </c>
      <c r="D20" t="str">
        <v>Test 10</v>
      </c>
    </row>
    <row r="21">
      <c r="C21" t="str">
        <v>XYZ 011</v>
      </c>
      <c r="D21" t="str">
        <v>Test 11</v>
      </c>
    </row>
    <row r="22">
      <c r="C22" t="str">
        <v>XYZ 012</v>
      </c>
      <c r="D22" t="str">
        <v>Test 12</v>
      </c>
    </row>
  </sheetData>
  <mergeCells count="18">
    <mergeCell ref="I7:I8"/>
    <mergeCell ref="J7:J8"/>
    <mergeCell ref="K7:K8"/>
    <mergeCell ref="L7:L8"/>
    <mergeCell ref="C7:C8"/>
    <mergeCell ref="C9:C11"/>
    <mergeCell ref="B14:B18"/>
    <mergeCell ref="B19:B22"/>
    <mergeCell ref="G7:H7"/>
    <mergeCell ref="G9:G11"/>
    <mergeCell ref="H9:H11"/>
    <mergeCell ref="A1:H1"/>
    <mergeCell ref="B7:B8"/>
    <mergeCell ref="D7:D8"/>
    <mergeCell ref="E7:E8"/>
    <mergeCell ref="F7:F8"/>
    <mergeCell ref="B9:B13"/>
    <mergeCell ref="D9:D11"/>
  </mergeCells>
  <pageMargins left="0.7" right="0.7" top="0.75" bottom="0.75" header="0" footer="0"/>
  <ignoredErrors>
    <ignoredError numberStoredAsText="1" sqref="A1:L1000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Test Cases XYZ…</v>
      </c>
    </row>
    <row r="2">
      <c r="B2" t="str">
        <v>Each sheet should be used for a type of test such as Function Testing, User Interface Testing, Security Testing etc</v>
      </c>
      <c r="G2" t="str">
        <v>Passed</v>
      </c>
      <c r="H2">
        <f>COUNTIF($H$9:$H$2001, "Passed")</f>
        <v>1</v>
      </c>
    </row>
    <row r="3">
      <c r="G3" t="str">
        <v>Failed</v>
      </c>
      <c r="H3">
        <f>COUNTIF($H$9:$H$2001, "Failed")</f>
        <v>0</v>
      </c>
    </row>
    <row r="4">
      <c r="G4" t="str">
        <v>Not Run</v>
      </c>
      <c r="H4">
        <f>COUNTIF($H$9:$H$2001, "Not Run")</f>
        <v>0</v>
      </c>
    </row>
    <row r="5">
      <c r="G5" t="str">
        <v>Not Completed</v>
      </c>
      <c r="H5">
        <f>COUNTIF($H$9:$H$2001, "Not Completed")</f>
        <v>0</v>
      </c>
    </row>
    <row r="6">
      <c r="G6" t="str">
        <v>Number of test cases</v>
      </c>
      <c r="H6">
        <f>COUNTA(C9:C2000)</f>
        <v>12</v>
      </c>
    </row>
    <row r="7">
      <c r="B7" t="str">
        <v>Category</v>
      </c>
      <c r="C7" t="str">
        <v>Test Case ID</v>
      </c>
      <c r="D7" t="str">
        <v>Test Case Description</v>
      </c>
      <c r="E7" t="str">
        <v>PreRequisites</v>
      </c>
      <c r="F7" t="str">
        <v>Steps</v>
      </c>
      <c r="G7" t="str">
        <v>Test Procedures</v>
      </c>
      <c r="I7" t="str">
        <v>Test Case Expected Result</v>
      </c>
      <c r="J7" t="str">
        <v>Actual Result</v>
      </c>
      <c r="K7" t="str">
        <v>Status</v>
      </c>
      <c r="L7" t="str">
        <v>Note</v>
      </c>
    </row>
    <row r="8">
      <c r="G8" t="str">
        <v>Steps to Perform</v>
      </c>
      <c r="H8" t="str">
        <v>Step Expected Result</v>
      </c>
    </row>
    <row r="9">
      <c r="B9" t="str">
        <v>…</v>
      </c>
      <c r="C9" t="str">
        <v>XYZ 001</v>
      </c>
      <c r="E9" t="str">
        <v>Step description 1</v>
      </c>
      <c r="F9" t="str">
        <v>Expected result 1</v>
      </c>
      <c r="H9" t="str">
        <v>Passed</v>
      </c>
    </row>
    <row r="10">
      <c r="E10" t="str">
        <v>Step description 2</v>
      </c>
      <c r="F10" t="str">
        <v>Expected result 2</v>
      </c>
    </row>
    <row r="11">
      <c r="E11" t="str">
        <v>Step description n…</v>
      </c>
      <c r="F11" t="str">
        <v>Expected result n…</v>
      </c>
    </row>
    <row r="12">
      <c r="C12" t="str">
        <v>XYZ 002</v>
      </c>
      <c r="D12" t="str">
        <v>Test 2</v>
      </c>
    </row>
    <row r="13">
      <c r="C13" t="str">
        <v>XYZ 003</v>
      </c>
      <c r="D13" t="str">
        <v>Test 3</v>
      </c>
    </row>
    <row r="14">
      <c r="B14" t="str">
        <v>…</v>
      </c>
      <c r="C14" t="str">
        <v>XYZ 004</v>
      </c>
      <c r="D14" t="str">
        <v>Test 4</v>
      </c>
    </row>
    <row r="15">
      <c r="C15" t="str">
        <v>XYZ 005</v>
      </c>
      <c r="D15" t="str">
        <v>Test 5</v>
      </c>
    </row>
    <row r="16">
      <c r="C16" t="str">
        <v>XYZ 006</v>
      </c>
      <c r="D16" t="str">
        <v>Test 6</v>
      </c>
    </row>
    <row r="17">
      <c r="C17" t="str">
        <v>XYZ 007</v>
      </c>
      <c r="D17" t="str">
        <v>Test 7</v>
      </c>
    </row>
    <row r="18">
      <c r="C18" t="str">
        <v>XYZ 008</v>
      </c>
      <c r="D18" t="str">
        <v>Test 8</v>
      </c>
    </row>
    <row r="19">
      <c r="B19" t="str">
        <v>…</v>
      </c>
      <c r="C19" t="str">
        <v>XYZ 009</v>
      </c>
      <c r="D19" t="str">
        <v>Test 9</v>
      </c>
    </row>
    <row r="20">
      <c r="C20" t="str">
        <v>XYZ 010</v>
      </c>
      <c r="D20" t="str">
        <v>Test 10</v>
      </c>
    </row>
    <row r="21">
      <c r="C21" t="str">
        <v>XYZ 011</v>
      </c>
      <c r="D21" t="str">
        <v>Test 11</v>
      </c>
    </row>
    <row r="22">
      <c r="C22" t="str">
        <v>XYZ 012</v>
      </c>
      <c r="D22" t="str">
        <v>Test 12</v>
      </c>
    </row>
  </sheetData>
  <mergeCells count="18">
    <mergeCell ref="I7:I8"/>
    <mergeCell ref="J7:J8"/>
    <mergeCell ref="K7:K8"/>
    <mergeCell ref="L7:L8"/>
    <mergeCell ref="C7:C8"/>
    <mergeCell ref="C9:C11"/>
    <mergeCell ref="B14:B18"/>
    <mergeCell ref="B19:B22"/>
    <mergeCell ref="G7:H7"/>
    <mergeCell ref="G9:G11"/>
    <mergeCell ref="H9:H11"/>
    <mergeCell ref="A1:H1"/>
    <mergeCell ref="B7:B8"/>
    <mergeCell ref="D7:D8"/>
    <mergeCell ref="E7:E8"/>
    <mergeCell ref="F7:F8"/>
    <mergeCell ref="B9:B13"/>
    <mergeCell ref="D9:D11"/>
  </mergeCells>
  <pageMargins left="0.7" right="0.7" top="0.75" bottom="0.75" header="0" footer="0"/>
  <ignoredErrors>
    <ignoredError numberStoredAsText="1" sqref="A1:L1000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Glossary</vt:lpstr>
      <vt:lpstr>Function Test Cases</vt:lpstr>
      <vt:lpstr>Security Test Cases</vt:lpstr>
      <vt:lpstr>UI Testing</vt:lpstr>
      <vt:lpstr>Other Test Cases ...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Nguyen</dc:creator>
</cp:coreProperties>
</file>